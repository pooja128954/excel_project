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Welcome\Downloads\"/>
    </mc:Choice>
  </mc:AlternateContent>
  <xr:revisionPtr revIDLastSave="0" documentId="13_ncr:1_{1B958E7D-4E9F-4004-AA33-8C3BF463F8B7}" xr6:coauthVersionLast="47" xr6:coauthVersionMax="47" xr10:uidLastSave="{00000000-0000-0000-0000-000000000000}"/>
  <bookViews>
    <workbookView xWindow="-108" yWindow="-108" windowWidth="23256" windowHeight="12576" activeTab="1" xr2:uid="{00000000-000D-0000-FFFF-FFFF00000000}"/>
  </bookViews>
  <sheets>
    <sheet name="Sheet1" sheetId="1" r:id="rId1"/>
    <sheet name="sheet2" sheetId="3" r:id="rId2"/>
    <sheet name="sheet3" sheetId="5" r:id="rId3"/>
  </sheets>
  <definedNames>
    <definedName name="_xlnm._FilterDatabase" localSheetId="2" hidden="1">sheet3!$J$21:$K$121</definedName>
    <definedName name="Slicer_Product_Category1">#N/A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<sst xmlns="http://schemas.openxmlformats.org/spreadsheetml/2006/main" count="473" uniqueCount="159">
  <si>
    <t>Order_ID</t>
  </si>
  <si>
    <t>Customer</t>
  </si>
  <si>
    <t>Region</t>
  </si>
  <si>
    <t>Product_Category</t>
  </si>
  <si>
    <t>Order_Date</t>
  </si>
  <si>
    <t>Order_Value</t>
  </si>
  <si>
    <t>Delivery_Time_Days</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</si>
  <si>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</si>
  <si>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</si>
  <si>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</si>
  <si>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</si>
  <si>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</si>
  <si>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</si>
  <si>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</si>
  <si>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</si>
  <si>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</si>
  <si>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</si>
  <si>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</si>
  <si>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</si>
  <si>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</si>
  <si>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</si>
  <si>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</si>
  <si>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</si>
  <si>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</si>
  <si>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</si>
  <si>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</si>
  <si>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</si>
  <si>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</si>
  <si>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</si>
  <si>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</si>
  <si>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</si>
  <si>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</si>
  <si>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</si>
  <si>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</si>
  <si>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</si>
  <si>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</si>
  <si>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</si>
  <si>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</si>
  <si>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</si>
  <si>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</si>
  <si>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</si>
  <si>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</si>
  <si>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</si>
  <si>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</si>
  <si>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</si>
  <si>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</si>
  <si>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</si>
  <si>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</si>
  <si>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</si>
  <si>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</si>
  <si>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</si>
  <si>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</si>
  <si>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</si>
  <si>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</si>
  <si>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</si>
  <si>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</si>
  <si>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</si>
  <si>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</si>
  <si>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</si>
  <si>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</si>
  <si>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</si>
  <si>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</si>
  <si>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</si>
  <si>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</si>
  <si>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</si>
  <si>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</si>
  <si>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</si>
  <si>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</si>
  <si>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</si>
  <si>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</si>
  <si>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</si>
  <si>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</si>
  <si>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</si>
  <si>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</si>
  <si>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</si>
  <si>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</si>
  <si>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</si>
  <si>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</si>
  <si>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</si>
  <si>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</si>
  <si>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</si>
  <si>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</si>
  <si>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</si>
  <si>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</si>
  <si>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</si>
  <si>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</si>
  <si>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</si>
  <si>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</si>
  <si>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</si>
  <si>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</si>
  <si>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</si>
  <si>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</si>
  <si>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</si>
  <si>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</si>
  <si>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</si>
  <si>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</si>
  <si>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</si>
  <si>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</si>
  <si>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</si>
  <si>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</si>
  <si>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</si>
  <si>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</si>
  <si>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</si>
  <si>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</si>
  <si>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</si>
  <si>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</si>
  <si>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</si>
  <si>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Cust_5</t>
  </si>
  <si>
    <t>Cust_10</t>
  </si>
  <si>
    <t>Cust_12</t>
  </si>
  <si>
    <t>Cust_7</t>
  </si>
  <si>
    <t>Cust_3</t>
  </si>
  <si>
    <t>Cust_13</t>
  </si>
  <si>
    <t>Cust_14</t>
  </si>
  <si>
    <t>Cust_2</t>
  </si>
  <si>
    <t>Cust_1</t>
  </si>
  <si>
    <t>Cust_18</t>
  </si>
  <si>
    <t>Cust_16</t>
  </si>
  <si>
    <t>Cust_19</t>
  </si>
  <si>
    <t>Cust_17</t>
  </si>
  <si>
    <t>Cust_20</t>
  </si>
  <si>
    <t>Cust_11</t>
  </si>
  <si>
    <t>Cust_4</t>
  </si>
  <si>
    <t>Cust_15</t>
  </si>
  <si>
    <t>Cust_6</t>
  </si>
  <si>
    <t>Cust_8</t>
  </si>
  <si>
    <t>Cust_9</t>
  </si>
  <si>
    <t>East</t>
  </si>
  <si>
    <t>South</t>
  </si>
  <si>
    <t>West</t>
  </si>
  <si>
    <t>North</t>
  </si>
  <si>
    <t>Electronics</t>
  </si>
  <si>
    <t>Beauty</t>
  </si>
  <si>
    <t>Clothing</t>
  </si>
  <si>
    <t>Sports</t>
  </si>
  <si>
    <t>Home</t>
  </si>
  <si>
    <t>Grand Total</t>
  </si>
  <si>
    <t>Jan</t>
  </si>
  <si>
    <t>Feb</t>
  </si>
  <si>
    <t>Mar</t>
  </si>
  <si>
    <t>Apr</t>
  </si>
  <si>
    <t>May</t>
  </si>
  <si>
    <t>Jun</t>
  </si>
  <si>
    <t>Average Delivery Time</t>
  </si>
  <si>
    <t>top 5</t>
  </si>
  <si>
    <t>Total Sales</t>
  </si>
  <si>
    <t>Average delivery time</t>
  </si>
  <si>
    <t>Top5 customers</t>
  </si>
  <si>
    <t>Sales value</t>
  </si>
  <si>
    <t>Best Selling by Revenue</t>
  </si>
  <si>
    <t>Best Selling by Orders</t>
  </si>
  <si>
    <t>Revenue</t>
  </si>
  <si>
    <t>Orders</t>
  </si>
  <si>
    <t>Product</t>
  </si>
  <si>
    <t>Month</t>
  </si>
  <si>
    <t>Sales Value by Region</t>
  </si>
  <si>
    <t>Sales Value by Month</t>
  </si>
  <si>
    <t>Sales Value by Product</t>
  </si>
  <si>
    <t xml:space="preserve">Average Order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</si>
</sst>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164" formatCode="[$-14009]dd/mm/yyyy;@"/>
    <numFmt numFmtId="165" formatCode="&quot;₹&quot;\ #,##0"/>
    <numFmt numFmtId="166" formatCode="&quot;₹&quot;\ #,##0.00"/>
  </numFmts>
  <fonts count="5" x14ac:knownFonts="1">
    <font>
      <sz val="11"/>
      <color theme="1"/>
      <name val="Calibri"/>
      <family val="2"/>
      <scheme val="minor"/>
    </font>
    <font>
      <b/>
      <sz val="11"/>
      <color theme="1"/>
      <name val="Calibri"/>
      <family val="2"/>
      <scheme val="minor"/>
    </font>
    <font>
      <b/>
      <sz val="11"/>
      <color theme="0" tint="-4.9989318521683403E-2"/>
      <name val="Calibri"/>
      <family val="2"/>
      <scheme val="minor"/>
    </font>
    <font>
      <sz val="11"/>
      <color theme="0" tint="-4.9989318521683403E-2"/>
      <name val="Calibri"/>
      <family val="2"/>
      <scheme val="minor"/>
    </font>
    <font>
      <sz val="11"/>
      <color theme="1"/>
      <name val="Calibri"/>
      <family val="2"/>
      <scheme val="minor"/>
    </font>
  </fonts>
  <fills count="6">
    <fill>
      <patternFill patternType="none"/>
    </fill>
    <fill>
      <patternFill patternType="gray125"/>
    </fill>
    <fill>
      <patternFill patternType="solid">
        <fgColor theme="6" tint="0.79998168889431442"/>
        <bgColor indexed="65"/>
      </patternFill>
    </fill>
    <fill>
      <patternFill patternType="solid">
        <fgColor rgb="FFEAEAEE"/>
        <bgColor indexed="64"/>
      </patternFill>
    </fill>
    <fill>
      <patternFill patternType="solid">
        <fgColor rgb="FFECECEC"/>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ck">
        <color theme="4" tint="0.499984740745262"/>
      </bottom>
      <diagonal/>
    </border>
  </borders>
  <cellStyleXfs count="2">
    <xf numFmtId="0" fontId="0" fillId="0" borderId="0"/>
    <xf numFmtId="0" fontId="4" fillId="2" borderId="0" applyNumberFormat="0" applyBorder="0" applyAlignment="0" applyProtection="0"/>
  </cellStyleXfs>
  <cellXfs count="2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165" fontId="0" fillId="0" borderId="0" xfId="0" applyNumberFormat="1"/>
    <xf numFmtId="165" fontId="1" fillId="0" borderId="2" xfId="0" applyNumberFormat="1" applyFont="1" applyBorder="1" applyAlignment="1">
      <alignment horizontal="center" vertical="top"/>
    </xf>
    <xf numFmtId="0" fontId="1" fillId="0" borderId="0" xfId="0" applyFont="1"/>
    <xf numFmtId="0" fontId="1" fillId="0" borderId="2" xfId="0" applyFont="1" applyBorder="1" applyAlignment="1">
      <alignment horizontal="left" vertical="top"/>
    </xf>
    <xf numFmtId="0" fontId="0" fillId="3" borderId="0" xfId="0" applyFill="1"/>
    <xf numFmtId="0" fontId="0" fillId="4" borderId="0" xfId="0" applyFill="1"/>
    <xf numFmtId="0" fontId="1" fillId="4" borderId="0" xfId="0" applyFont="1" applyFill="1"/>
    <xf numFmtId="165" fontId="0" fillId="4" borderId="0" xfId="0" applyNumberFormat="1" applyFill="1"/>
    <xf numFmtId="0" fontId="1" fillId="4" borderId="2" xfId="0" applyFont="1" applyFill="1" applyBorder="1" applyAlignment="1">
      <alignment horizontal="center" vertical="top"/>
    </xf>
    <xf numFmtId="0" fontId="0" fillId="4" borderId="0" xfId="0" applyFill="1" applyAlignment="1">
      <alignment horizontal="left"/>
    </xf>
    <xf numFmtId="0" fontId="1" fillId="4" borderId="1" xfId="0" applyFont="1" applyFill="1" applyBorder="1" applyAlignment="1">
      <alignment horizontal="center" vertical="top"/>
    </xf>
    <xf numFmtId="0" fontId="1" fillId="4" borderId="2" xfId="0" applyFont="1" applyFill="1" applyBorder="1" applyAlignment="1">
      <alignment horizontal="left" vertical="top"/>
    </xf>
    <xf numFmtId="0" fontId="2" fillId="4" borderId="1" xfId="0" applyFont="1" applyFill="1" applyBorder="1" applyAlignment="1">
      <alignment horizontal="center" vertical="top"/>
    </xf>
    <xf numFmtId="165" fontId="2" fillId="4" borderId="2" xfId="0" applyNumberFormat="1" applyFont="1" applyFill="1" applyBorder="1" applyAlignment="1">
      <alignment horizontal="center" vertical="top"/>
    </xf>
    <xf numFmtId="0" fontId="3" fillId="4" borderId="0" xfId="0" applyFont="1" applyFill="1"/>
    <xf numFmtId="165" fontId="3" fillId="4" borderId="0" xfId="0" applyNumberFormat="1" applyFont="1" applyFill="1"/>
    <xf numFmtId="166" fontId="0" fillId="4" borderId="0" xfId="0" applyNumberFormat="1" applyFill="1"/>
    <xf numFmtId="0" fontId="0" fillId="0" borderId="0" xfId="0" applyNumberFormat="1"/>
    <xf numFmtId="0" fontId="0" fillId="5" borderId="0" xfId="0" applyFill="1"/>
    <xf numFmtId="42" fontId="4" fillId="2" borderId="3" xfId="1" applyNumberFormat="1" applyBorder="1"/>
    <xf numFmtId="42" fontId="4" fillId="2" borderId="3" xfId="1" applyNumberFormat="1" applyBorder="1" applyAlignment="1">
      <alignment horizontal="center" vertical="center"/>
    </xf>
  </cellXfs>
  <cellStyles count="2">
    <cellStyle name="20% - Accent3" xfId="1" builtinId="38"/>
    <cellStyle name="Normal" xfId="0" builtinId="0"/>
  </cellStyles>
  <dxfs count="9">
    <dxf>
      <numFmt numFmtId="165" formatCode="&quot;₹&quot;\ #,##0"/>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none">
          <fgColor indexed="64"/>
          <bgColor indexed="65"/>
        </patternFill>
      </fill>
    </dxf>
    <dxf>
      <numFmt numFmtId="165" formatCode="&quot;₹&quot;\ #,##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s>
  <tableStyles count="0" defaultTableStyle="TableStyleMedium9" defaultPivotStyle="PivotStyleLight16"/>
  <colors>
    <mruColors>
      <color rgb="FFEAEAEE"/>
      <color rgb="FFECECEC"/>
      <color rgb="FFE7E7E9"/>
      <color rgb="FFE5E4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[ecommerce_orders.xlsx]sheet2!PivotTable12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layout>
        <c:manualLayout>
          <c:xMode val="edge"/>
          <c:yMode val="edge"/>
          <c:x val="0.30751521116678598"/>
          <c:y val="0.124832072800110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sheet2!$B$18</c:f>
              <c:strCache>
                <c:ptCount val="1"/>
                <c:pt idx="0">
                  <c:v>Total</c:v>
                </c:pt>
              </c:strCache>
            </c:strRef>
          </c:tx>
          <c:spPr>
            <a:ln w="28575" cap="rnd">
              <a:solidFill>
                <a:schemeClr val="accent1"/>
              </a:solidFill>
              <a:round/>
            </a:ln>
            <a:effectLst/>
          </c:spPr>
          <c:marker>
            <c:symbol val="none"/>
          </c:marker>
          <c:cat>
            <c:strRef>
              <c:f>sheet2!$A$19:$A$25</c:f>
              <c:strCache>
                <c:ptCount val="6"/>
                <c:pt idx="0">
                  <c:v>Jan</c:v>
                </c:pt>
                <c:pt idx="1">
                  <c:v>Feb</c:v>
                </c:pt>
                <c:pt idx="2">
                  <c:v>Mar</c:v>
                </c:pt>
                <c:pt idx="3">
                  <c:v>Apr</c:v>
                </c:pt>
                <c:pt idx="4">
                  <c:v>May</c:v>
                </c:pt>
                <c:pt idx="5">
                  <c:v>Jun</c:v>
                </c:pt>
              </c:strCache>
            </c:strRef>
          </c:cat>
          <c:val>
            <c:numRef>
              <c:f>sheet2!$B$19:$B$25</c:f>
              <c:numCache>
                <c:formatCode>General</c:formatCode>
                <c:ptCount val="6"/>
                <c:pt idx="0">
                  <c:v>46965.709999999992</c:v>
                </c:pt>
                <c:pt idx="1">
                  <c:v>35314.050000000003</c:v>
                </c:pt>
                <c:pt idx="2">
                  <c:v>48785.88</c:v>
                </c:pt>
                <c:pt idx="3">
                  <c:v>44181.77</c:v>
                </c:pt>
                <c:pt idx="4">
                  <c:v>55839.270000000004</c:v>
                </c:pt>
                <c:pt idx="5">
                  <c:v>45665.939999999995</c:v>
                </c:pt>
              </c:numCache>
            </c:numRef>
          </c:val>
          <c:smooth val="0"/>
          <c:extLst>
            <c:ext xmlns:c16="http://schemas.microsoft.com/office/drawing/2014/chart" uri="{C3380CC4-5D6E-409C-BE32-E72D297353CC}">
              <c16:uniqueId val="{00000000-1770-4F07-A498-F024EACC8D06}"/>
            </c:ext>
          </c:extLst>
        </c:ser>
        <c:dLbls>
          <c:showLegendKey val="0"/>
          <c:showVal val="0"/>
          <c:showCatName val="0"/>
          <c:showSerName val="0"/>
          <c:showPercent val="0"/>
          <c:showBubbleSize val="0"/>
        </c:dLbls>
        <c:smooth val="0"/>
        <c:axId val="734554783"/>
        <c:axId val="734557183"/>
      </c:lineChart>
      <c:catAx>
        <c:axId val="734554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57183"/>
        <c:crosses val="autoZero"/>
        <c:auto val="1"/>
        <c:lblAlgn val="ctr"/>
        <c:lblOffset val="100"/>
        <c:noMultiLvlLbl val="0"/>
      </c:catAx>
      <c:valAx>
        <c:axId val="73455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5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[ecommerce_orders.xlsx]sheet2!PivotTable11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p>
        </c:rich>
      </c:tx>
      <c:layout>
        <c:manualLayout>
          <c:xMode val="edge"/>
          <c:yMode val="edge"/>
          <c:x val="0.37049952830629268"/>
          <c:y val="0.114882030120566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sheet2!$E$18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DB-4EB3-9D12-9DF80D672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DB-4EB3-9D12-9DF80D672D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DB-4EB3-9D12-9DF80D672D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DB-4EB3-9D12-9DF80D672D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DB-4EB3-9D12-9DF80D672D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sheet2!$D$19:$D$24</c:f>
              <c:strCache>
                <c:ptCount val="5"/>
                <c:pt idx="0">
                  <c:v>Beauty</c:v>
                </c:pt>
                <c:pt idx="1">
                  <c:v>Clothing</c:v>
                </c:pt>
                <c:pt idx="2">
                  <c:v>Electronics</c:v>
                </c:pt>
                <c:pt idx="3">
                  <c:v>Home</c:v>
                </c:pt>
                <c:pt idx="4">
                  <c:v>Sports</c:v>
                </c:pt>
              </c:strCache>
            </c:strRef>
          </c:cat>
          <c:val>
            <c:numRef>
              <c:f>sheet2!$E$19:$E$24</c:f>
              <c:numCache>
                <c:formatCode>General</c:formatCode>
                <c:ptCount val="5"/>
                <c:pt idx="0">
                  <c:v>33645.32</c:v>
                </c:pt>
                <c:pt idx="1">
                  <c:v>61336.01</c:v>
                </c:pt>
                <c:pt idx="2">
                  <c:v>55303.860000000008</c:v>
                </c:pt>
                <c:pt idx="3">
                  <c:v>46667.38</c:v>
                </c:pt>
                <c:pt idx="4">
                  <c:v>79800.049999999988</c:v>
                </c:pt>
              </c:numCache>
            </c:numRef>
          </c:val>
          <c:extLst>
            <c:ext xmlns:c16="http://schemas.microsoft.com/office/drawing/2014/chart" uri="{C3380CC4-5D6E-409C-BE32-E72D297353CC}">
              <c16:uniqueId val="{0000000A-47DB-4EB3-9D12-9DF80D672D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32433513226577015"/>
          <c:y val="0.120690672092954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sheet2!$B$10</c:f>
              <c:strCache>
                <c:ptCount val="1"/>
                <c:pt idx="0">
                  <c:v>Total</c:v>
                </c:pt>
              </c:strCache>
            </c:strRef>
          </c:tx>
          <c:spPr>
            <a:solidFill>
              <a:schemeClr val="accent1"/>
            </a:solidFill>
            <a:ln>
              <a:noFill/>
            </a:ln>
            <a:effectLst/>
          </c:spPr>
          <c:invertIfNegative val="0"/>
          <c:cat>
            <c:strRef>
              <c:f>sheet2!$A$11:$A$15</c:f>
              <c:strCache>
                <c:ptCount val="4"/>
                <c:pt idx="0">
                  <c:v>East</c:v>
                </c:pt>
                <c:pt idx="1">
                  <c:v>North</c:v>
                </c:pt>
                <c:pt idx="2">
                  <c:v>South</c:v>
                </c:pt>
                <c:pt idx="3">
                  <c:v>West</c:v>
                </c:pt>
              </c:strCache>
            </c:strRef>
          </c:cat>
          <c:val>
            <c:numRef>
              <c:f>sheet2!$B$11:$B$15</c:f>
              <c:numCache>
                <c:formatCode>General</c:formatCode>
                <c:ptCount val="4"/>
                <c:pt idx="0">
                  <c:v>91301.53</c:v>
                </c:pt>
                <c:pt idx="1">
                  <c:v>46353.310000000005</c:v>
                </c:pt>
                <c:pt idx="2">
                  <c:v>61702.549999999988</c:v>
                </c:pt>
                <c:pt idx="3">
                  <c:v>77395.229999999981</c:v>
                </c:pt>
              </c:numCache>
            </c:numRef>
          </c:val>
          <c:extLst>
            <c:ext xmlns:c16="http://schemas.microsoft.com/office/drawing/2014/chart" uri="{C3380CC4-5D6E-409C-BE32-E72D297353CC}">
              <c16:uniqueId val="{00000000-C4AE-4602-9363-15AE3728BA3D}"/>
            </c:ext>
          </c:extLst>
        </c:ser>
        <c:dLbls>
          <c:showLegendKey val="0"/>
          <c:showVal val="0"/>
          <c:showCatName val="0"/>
          <c:showSerName val="0"/>
          <c:showPercent val="0"/>
          <c:showBubbleSize val="0"/>
        </c:dLbls>
        <c:gapWidth val="219"/>
        <c:overlap val="-27"/>
        <c:axId val="729188959"/>
        <c:axId val="729187999"/>
      </c:barChart>
      <c:catAx>
        <c:axId val="72918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187999"/>
        <c:crosses val="autoZero"/>
        <c:auto val="1"/>
        <c:lblAlgn val="ctr"/>
        <c:lblOffset val="100"/>
        <c:noMultiLvlLbl val="0"/>
      </c:catAx>
      <c:valAx>
        <c:axId val="72918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18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sheet3!$B$67</c:f>
              <c:strCache>
                <c:ptCount val="1"/>
                <c:pt idx="0">
                  <c:v>top 5</c:v>
                </c:pt>
              </c:strCache>
            </c:strRef>
          </c:tx>
          <c:spPr>
            <a:solidFill>
              <a:schemeClr val="accent1"/>
            </a:solidFill>
            <a:ln>
              <a:noFill/>
            </a:ln>
            <a:effectLst/>
          </c:spPr>
          <c:invertIfNegative val="0"/>
          <c:cat>
            <c:strRef>
              <c:f>sheet3!$A$68:$A$72</c:f>
              <c:strCache>
                <c:ptCount val="5"/>
                <c:pt idx="0">
                  <c:v>Cust_4</c:v>
                </c:pt>
                <c:pt idx="1">
                  <c:v>Cust_20</c:v>
                </c:pt>
                <c:pt idx="2">
                  <c:v>Cust_18</c:v>
                </c:pt>
                <c:pt idx="3">
                  <c:v>Cust_3</c:v>
                </c:pt>
                <c:pt idx="4">
                  <c:v>Cust_11</c:v>
                </c:pt>
              </c:strCache>
            </c:strRef>
          </c:cat>
          <c:val>
            <c:numRef>
              <c:f>sheet3!$B$68:$B$72</c:f>
              <c:numCache>
                <c:formatCode>"₹"\ #,##0</c:formatCode>
                <c:ptCount val="5"/>
                <c:pt idx="0">
                  <c:v>27511.26</c:v>
                </c:pt>
                <c:pt idx="1">
                  <c:v>25402.139999999996</c:v>
                </c:pt>
                <c:pt idx="2">
                  <c:v>25197.32</c:v>
                </c:pt>
                <c:pt idx="3">
                  <c:v>19781.759999999998</c:v>
                </c:pt>
                <c:pt idx="4">
                  <c:v>19149.269999999997</c:v>
                </c:pt>
              </c:numCache>
            </c:numRef>
          </c:val>
          <c:extLst>
            <c:ext xmlns:c16="http://schemas.microsoft.com/office/drawing/2014/chart" uri="{C3380CC4-5D6E-409C-BE32-E72D297353CC}">
              <c16:uniqueId val="{00000000-69DA-4196-9C6C-140A7DAB3DF6}"/>
            </c:ext>
          </c:extLst>
        </c:ser>
        <c:dLbls>
          <c:showLegendKey val="0"/>
          <c:showVal val="0"/>
          <c:showCatName val="0"/>
          <c:showSerName val="0"/>
          <c:showPercent val="0"/>
          <c:showBubbleSize val="0"/>
        </c:dLbls>
        <c:gapWidth val="182"/>
        <c:axId val="201886815"/>
        <c:axId val="198240159"/>
      </c:barChart>
      <c:catAx>
        <c:axId val="20188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0159"/>
        <c:crosses val="autoZero"/>
        <c:auto val="1"/>
        <c:lblAlgn val="ctr"/>
        <c:lblOffset val="100"/>
        <c:noMultiLvlLbl val="0"/>
      </c:catAx>
      <c:valAx>
        <c:axId val="198240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86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14</xdr:row>
      <xdr:rowOff>30480</xdr:rowOff>
    </xdr:from>
    <xdr:to>
      <xdr:col>8</xdr:col>
      <xdr:colOff>304800</xdr:colOff>
      <xdr:row>30</xdr:row>
      <xdr:rowOff>91440</xdr:rowOff>
    </xdr:to>
    <xdr:graphicFrame macro="">
      <xdr:nvGraphicFramePr>
        <xdr:cNvPr id="4" name="Chart 3">
          <a:extLst>
            <a:ext uri="{FF2B5EF4-FFF2-40B4-BE49-F238E27FC236}">
              <a16:creationId xmlns:a16="http://schemas.microsoft.com/office/drawing/2014/main" id="{9059902C-55F8-492E-9D39-0114AB2BC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640080</xdr:colOff>
      <xdr:row>14</xdr:row>
      <xdr:rowOff>76200</xdr:rowOff>
    </xdr:from>
    <xdr:to>
      <xdr:col>14</xdr:col>
      <xdr:colOff>381000</xdr:colOff>
      <xdr:row>30</xdr:row>
      <xdr:rowOff>0</xdr:rowOff>
    </xdr:to>
    <xdr:graphicFrame macro="">
      <xdr:nvGraphicFramePr>
        <xdr:cNvPr id="5" name="Chart 4">
          <a:extLst>
            <a:ext uri="{FF2B5EF4-FFF2-40B4-BE49-F238E27FC236}">
              <a16:creationId xmlns:a16="http://schemas.microsoft.com/office/drawing/2014/main" id="{53EE2197-75D1-47E3-B75D-32B275E55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586740</xdr:colOff>
      <xdr:row>31</xdr:row>
      <xdr:rowOff>45720</xdr:rowOff>
    </xdr:from>
    <xdr:to>
      <xdr:col>15</xdr:col>
      <xdr:colOff>76200</xdr:colOff>
      <xdr:row>47</xdr:row>
      <xdr:rowOff>22860</xdr:rowOff>
    </xdr:to>
    <xdr:graphicFrame macro="">
      <xdr:nvGraphicFramePr>
        <xdr:cNvPr id="6" name="Chart 5">
          <a:extLst>
            <a:ext uri="{FF2B5EF4-FFF2-40B4-BE49-F238E27FC236}">
              <a16:creationId xmlns:a16="http://schemas.microsoft.com/office/drawing/2014/main" id="{6A7A7E67-2B01-4F49-97A0-130BDC4A8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31</xdr:row>
      <xdr:rowOff>99060</xdr:rowOff>
    </xdr:from>
    <xdr:to>
      <xdr:col>8</xdr:col>
      <xdr:colOff>388620</xdr:colOff>
      <xdr:row>47</xdr:row>
      <xdr:rowOff>106680</xdr:rowOff>
    </xdr:to>
    <xdr:graphicFrame macro="">
      <xdr:nvGraphicFramePr>
        <xdr:cNvPr id="10" name="Chart 9">
          <a:extLst>
            <a:ext uri="{FF2B5EF4-FFF2-40B4-BE49-F238E27FC236}">
              <a16:creationId xmlns:a16="http://schemas.microsoft.com/office/drawing/2014/main" id="{C26F7C6A-9A95-3DE5-9415-68AB1CAA8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434607</xdr:colOff>
      <xdr:row>17</xdr:row>
      <xdr:rowOff>158149</xdr:rowOff>
    </xdr:from>
    <xdr:to>
      <xdr:col>17</xdr:col>
      <xdr:colOff>777507</xdr:colOff>
      <xdr:row>26</xdr:row>
      <xdr:rowOff>20988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896A8FF-C15A-8BFA-1880-6492091D8B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23449" y="3339833"/>
              <a:ext cx="2508584" cy="154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358140</xdr:colOff>
      <xdr:row>34</xdr:row>
      <xdr:rowOff>15239</xdr:rowOff>
    </xdr:from>
    <xdr:to>
      <xdr:col>17</xdr:col>
      <xdr:colOff>800100</xdr:colOff>
      <xdr:row>43</xdr:row>
      <xdr:rowOff>175260</xdr:rowOff>
    </xdr:to>
    <mc:AlternateContent xmlns:mc="http://schemas.openxmlformats.org/markup-compatibility/2006">
      <mc:Choice xmlns:a14="http://schemas.microsoft.com/office/drawing/2010/main" Requires="a14">
        <xdr:graphicFrame macro="">
          <xdr:nvGraphicFramePr>
            <xdr:cNvPr id="11" name="Product_Category 1">
              <a:extLst>
                <a:ext uri="{FF2B5EF4-FFF2-40B4-BE49-F238E27FC236}">
                  <a16:creationId xmlns:a16="http://schemas.microsoft.com/office/drawing/2014/main" id="{9D88C7B0-07E8-4598-33EF-813965DE843A}"/>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1346982" y="6378607"/>
              <a:ext cx="2607644" cy="1844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17</xdr:col>
      <xdr:colOff>1203158</xdr:colOff>
      <xdr:row>5</xdr:row>
      <xdr:rowOff>121920</xdr:rowOff>
    </xdr:to>
    <xdr:sp macro="" textlink="">
      <xdr:nvSpPr>
        <xdr:cNvPr id="2" name="TextBox 1">
          <a:extLst>
            <a:ext uri="{FF2B5EF4-FFF2-40B4-BE49-F238E27FC236}">
              <a16:creationId xmlns:a16="http://schemas.microsoft.com/office/drawing/2014/main" id="{C29CD1AF-B442-0FD8-2A09-04F1A9124026}"/>
            </a:ext>
          </a:extLst>
        </xdr:cNvPr>
        <xdr:cNvSpPr txBox="1"/>
      </xdr:nvSpPr>
      <xdr:spPr>
        <a:xfrm>
          <a:off x="0" y="0"/>
          <a:ext cx="14357684" cy="1057709"/>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E-Commerce</a:t>
          </a:r>
          <a:r>
            <a:rPr lang="en-IN" sz="3200" baseline="0">
              <a:solidFill>
                <a:schemeClr val="bg1"/>
              </a:solidFill>
            </a:rPr>
            <a:t> Sales &amp; Delivery Insights Dashboard</a:t>
          </a:r>
          <a:endParaRPr lang="en-IN" sz="3200">
            <a:solidFill>
              <a:schemeClr val="bg1"/>
            </a:solidFill>
          </a:endParaRPr>
        </a:p>
      </xdr:txBody>
    </xdr:sp>
    <xdr:clientData/>
  </xdr:twoCellAnchor>
  <xdr:twoCellAnchor>
    <xdr:from>
      <xdr:col>0</xdr:col>
      <xdr:colOff>243840</xdr:colOff>
      <xdr:row>6</xdr:row>
      <xdr:rowOff>167640</xdr:rowOff>
    </xdr:from>
    <xdr:to>
      <xdr:col>5</xdr:col>
      <xdr:colOff>334211</xdr:colOff>
      <xdr:row>12</xdr:row>
      <xdr:rowOff>160020</xdr:rowOff>
    </xdr:to>
    <xdr:sp macro="" textlink="">
      <xdr:nvSpPr>
        <xdr:cNvPr id="9" name="Rectangle 8">
          <a:extLst>
            <a:ext uri="{FF2B5EF4-FFF2-40B4-BE49-F238E27FC236}">
              <a16:creationId xmlns:a16="http://schemas.microsoft.com/office/drawing/2014/main" id="{2209E405-B4E7-73D6-77A2-260E91093C91}"/>
            </a:ext>
          </a:extLst>
        </xdr:cNvPr>
        <xdr:cNvSpPr/>
      </xdr:nvSpPr>
      <xdr:spPr>
        <a:xfrm>
          <a:off x="243840" y="1290587"/>
          <a:ext cx="3298792" cy="1115328"/>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 2,76,753</a:t>
          </a:r>
        </a:p>
        <a:p>
          <a:pPr algn="ctr"/>
          <a:r>
            <a:rPr lang="en-IN" sz="1800">
              <a:solidFill>
                <a:schemeClr val="tx1"/>
              </a:solidFill>
            </a:rPr>
            <a:t>Total</a:t>
          </a:r>
          <a:r>
            <a:rPr lang="en-IN" sz="1800" baseline="0">
              <a:solidFill>
                <a:schemeClr val="tx1"/>
              </a:solidFill>
            </a:rPr>
            <a:t> Sales</a:t>
          </a:r>
          <a:endParaRPr lang="en-IN" sz="1800">
            <a:solidFill>
              <a:schemeClr val="tx1"/>
            </a:solidFill>
          </a:endParaRPr>
        </a:p>
      </xdr:txBody>
    </xdr:sp>
    <xdr:clientData/>
  </xdr:twoCellAnchor>
  <xdr:twoCellAnchor>
    <xdr:from>
      <xdr:col>6</xdr:col>
      <xdr:colOff>26737</xdr:colOff>
      <xdr:row>6</xdr:row>
      <xdr:rowOff>175260</xdr:rowOff>
    </xdr:from>
    <xdr:to>
      <xdr:col>9</xdr:col>
      <xdr:colOff>120315</xdr:colOff>
      <xdr:row>12</xdr:row>
      <xdr:rowOff>175260</xdr:rowOff>
    </xdr:to>
    <xdr:sp macro="" textlink="">
      <xdr:nvSpPr>
        <xdr:cNvPr id="12" name="Rectangle 11">
          <a:extLst>
            <a:ext uri="{FF2B5EF4-FFF2-40B4-BE49-F238E27FC236}">
              <a16:creationId xmlns:a16="http://schemas.microsoft.com/office/drawing/2014/main" id="{8108465E-3D05-550E-EC52-08864C6B729A}"/>
            </a:ext>
          </a:extLst>
        </xdr:cNvPr>
        <xdr:cNvSpPr/>
      </xdr:nvSpPr>
      <xdr:spPr>
        <a:xfrm>
          <a:off x="3850105" y="1298207"/>
          <a:ext cx="3181684" cy="1122948"/>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a:solidFill>
                <a:schemeClr val="tx1"/>
              </a:solidFill>
              <a:effectLst/>
              <a:latin typeface="+mn-lt"/>
              <a:ea typeface="+mn-ea"/>
              <a:cs typeface="+mn-cs"/>
            </a:rPr>
            <a:t>₹ 2776.56</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tx1"/>
              </a:solidFill>
              <a:effectLst/>
              <a:latin typeface="+mn-lt"/>
              <a:ea typeface="+mn-ea"/>
              <a:cs typeface="+mn-cs"/>
            </a:rPr>
            <a:t>Average</a:t>
          </a:r>
          <a:r>
            <a:rPr lang="en-IN" sz="1800" baseline="0">
              <a:solidFill>
                <a:schemeClr val="tx1"/>
              </a:solidFill>
              <a:effectLst/>
              <a:latin typeface="+mn-lt"/>
              <a:ea typeface="+mn-ea"/>
              <a:cs typeface="+mn-cs"/>
            </a:rPr>
            <a:t> Order Value</a:t>
          </a:r>
          <a:endParaRPr lang="en-IN" sz="1800">
            <a:solidFill>
              <a:schemeClr val="tx1"/>
            </a:solidFill>
          </a:endParaRPr>
        </a:p>
      </xdr:txBody>
    </xdr:sp>
    <xdr:clientData/>
  </xdr:twoCellAnchor>
  <xdr:twoCellAnchor>
    <xdr:from>
      <xdr:col>9</xdr:col>
      <xdr:colOff>521368</xdr:colOff>
      <xdr:row>7</xdr:row>
      <xdr:rowOff>7620</xdr:rowOff>
    </xdr:from>
    <xdr:to>
      <xdr:col>14</xdr:col>
      <xdr:colOff>374316</xdr:colOff>
      <xdr:row>13</xdr:row>
      <xdr:rowOff>0</xdr:rowOff>
    </xdr:to>
    <xdr:sp macro="" textlink="">
      <xdr:nvSpPr>
        <xdr:cNvPr id="13" name="Rectangle 12">
          <a:extLst>
            <a:ext uri="{FF2B5EF4-FFF2-40B4-BE49-F238E27FC236}">
              <a16:creationId xmlns:a16="http://schemas.microsoft.com/office/drawing/2014/main" id="{18ABA9EA-A356-726B-9077-2C39CB190613}"/>
            </a:ext>
          </a:extLst>
        </xdr:cNvPr>
        <xdr:cNvSpPr/>
      </xdr:nvSpPr>
      <xdr:spPr>
        <a:xfrm>
          <a:off x="7432842" y="1317725"/>
          <a:ext cx="3315369" cy="1115328"/>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Beauty</a:t>
          </a:r>
        </a:p>
        <a:p>
          <a:pPr algn="ctr"/>
          <a:r>
            <a:rPr lang="en-IN" sz="1800">
              <a:solidFill>
                <a:schemeClr val="tx1"/>
              </a:solidFill>
            </a:rPr>
            <a:t>Best</a:t>
          </a:r>
          <a:r>
            <a:rPr lang="en-IN" sz="1800" baseline="0">
              <a:solidFill>
                <a:schemeClr val="tx1"/>
              </a:solidFill>
            </a:rPr>
            <a:t> Selling By Revenue</a:t>
          </a:r>
          <a:endParaRPr lang="en-IN" sz="1800">
            <a:solidFill>
              <a:schemeClr val="tx1"/>
            </a:solidFill>
          </a:endParaRPr>
        </a:p>
      </xdr:txBody>
    </xdr:sp>
    <xdr:clientData/>
  </xdr:twoCellAnchor>
  <xdr:twoCellAnchor>
    <xdr:from>
      <xdr:col>15</xdr:col>
      <xdr:colOff>133683</xdr:colOff>
      <xdr:row>7</xdr:row>
      <xdr:rowOff>91440</xdr:rowOff>
    </xdr:from>
    <xdr:to>
      <xdr:col>17</xdr:col>
      <xdr:colOff>1176420</xdr:colOff>
      <xdr:row>13</xdr:row>
      <xdr:rowOff>38100</xdr:rowOff>
    </xdr:to>
    <xdr:sp macro="" textlink="">
      <xdr:nvSpPr>
        <xdr:cNvPr id="14" name="Rectangle 13">
          <a:extLst>
            <a:ext uri="{FF2B5EF4-FFF2-40B4-BE49-F238E27FC236}">
              <a16:creationId xmlns:a16="http://schemas.microsoft.com/office/drawing/2014/main" id="{C8446821-8DEE-72D8-A13C-7258FF2A6615}"/>
            </a:ext>
          </a:extLst>
        </xdr:cNvPr>
        <xdr:cNvSpPr/>
      </xdr:nvSpPr>
      <xdr:spPr>
        <a:xfrm>
          <a:off x="11122525" y="1401545"/>
          <a:ext cx="3208421" cy="1069608"/>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Sports</a:t>
          </a:r>
        </a:p>
        <a:p>
          <a:pPr algn="ctr"/>
          <a:r>
            <a:rPr lang="en-IN" sz="1800">
              <a:solidFill>
                <a:schemeClr val="tx1"/>
              </a:solidFill>
            </a:rPr>
            <a:t>Best Selling</a:t>
          </a:r>
          <a:r>
            <a:rPr lang="en-IN" sz="1800" baseline="0">
              <a:solidFill>
                <a:schemeClr val="tx1"/>
              </a:solidFill>
            </a:rPr>
            <a:t> By Order</a:t>
          </a:r>
          <a:endParaRPr lang="en-IN" sz="18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927.846525231478" createdVersion="8" refreshedVersion="8" minRefreshableVersion="3" recordCount="100" xr:uid="{7BAE968C-8B28-4277-9785-A4B9922B2DAB}">
  <cacheSource type="worksheet">
    <worksheetSource ref="A1:G101" sheet="Sheet1"/>
  </cacheSource>
  <cacheFields count="9">
    <cacheField name="Order_ID" numFmtId="0">
      <sharedItems/>
    </cacheField>
    <cacheField name="Customer" numFmtId="0">
      <sharedItems/>
    </cacheField>
    <cacheField name="Region" numFmtId="0">
      <sharedItems count="4">
        <s v="West"/>
        <s v="South"/>
        <s v="East"/>
        <s v="North"/>
      </sharedItems>
    </cacheField>
    <cacheField name="Product_Category" numFmtId="0">
      <sharedItems count="5">
        <s v="Clothing"/>
        <s v="Sports"/>
        <s v="Beauty"/>
        <s v="Electronics"/>
        <s v="Home"/>
      </sharedItems>
    </cacheField>
    <cacheField name="Order_Date" numFmtId="164">
      <sharedItems containsSemiMixedTypes="0" containsNonDate="0" containsDate="1" containsString="0" minDate="2024-01-01T00:00:00" maxDate="2024-07-01T00:00:00" count="100">
        <d v="2024-01-17T10:54:33"/>
        <d v="2024-04-12T09:12:44"/>
        <d v="2024-06-13T13:05:27"/>
        <d v="2024-01-13T19:09:05"/>
        <d v="2024-02-19T08:43:38"/>
        <d v="2024-03-30T14:03:38"/>
        <d v="2024-01-08T07:30:55"/>
        <d v="2024-01-24T18:25:27"/>
        <d v="2024-02-04T17:41:49"/>
        <d v="2024-03-12T07:16:22"/>
        <d v="2024-03-25T02:25:27"/>
        <d v="2024-04-14T05:05:27"/>
        <d v="2024-06-26T08:14:33"/>
        <d v="2024-02-08T09:27:16"/>
        <d v="2024-03-19T14:47:16"/>
        <d v="2024-04-10T13:20:00"/>
        <d v="2024-04-17T20:50:55"/>
        <d v="2024-05-26T06:18:11"/>
        <d v="2024-06-09T21:20:00"/>
        <d v="2024-06-19T00:43:38"/>
        <d v="2024-06-24T12:21:49"/>
        <d v="2024-01-01T00:00:00"/>
        <d v="2024-05-18T22:47:16"/>
        <d v="2024-06-15T08:58:11"/>
        <d v="2024-06-28T04:07:16"/>
        <d v="2024-02-15T16:58:11"/>
        <d v="2024-04-19T16:43:38"/>
        <d v="2024-06-17T04:50:55"/>
        <d v="2024-06-22T16:29:05"/>
        <d v="2024-01-02T19:52:44"/>
        <d v="2024-05-11T15:16:22"/>
        <d v="2024-06-02T13:49:05"/>
        <d v="2024-06-04T09:41:49"/>
        <d v="2024-02-06T13:34:33"/>
        <d v="2024-03-06T19:38:11"/>
        <d v="2024-03-14T03:09:05"/>
        <d v="2024-04-06T21:34:33"/>
        <d v="2024-05-17T02:54:33"/>
        <d v="2024-05-22T14:32:44"/>
        <d v="2024-06-30T00:00:00"/>
        <d v="2024-01-04T15:45:27"/>
        <d v="2024-01-28T10:10:55"/>
        <d v="2024-02-13T21:05:27"/>
        <d v="2024-03-21T10:40:00"/>
        <d v="2024-01-10T03:23:38"/>
        <d v="2024-02-23T00:29:05"/>
        <d v="2024-04-27T00:14:33"/>
        <d v="2024-05-07T23:30:55"/>
        <d v="2024-01-11T23:16:22"/>
        <d v="2024-01-22T22:32:44"/>
        <d v="2024-03-03T03:52:44"/>
        <d v="2024-02-10T05:20:00"/>
        <d v="2024-03-01T08:00:00"/>
        <d v="2024-05-04T07:45:27"/>
        <d v="2024-05-24T10:25:27"/>
        <d v="2024-06-06T05:34:33"/>
        <d v="2024-01-21T02:40:00"/>
        <d v="2024-03-10T11:23:38"/>
        <d v="2024-03-26T22:18:11"/>
        <d v="2024-03-28T18:10:55"/>
        <d v="2024-04-01T09:56:22"/>
        <d v="2024-04-25T04:21:49"/>
        <d v="2024-02-01T01:56:22"/>
        <d v="2024-02-24T20:21:49"/>
        <d v="2024-04-03T05:49:05"/>
        <d v="2024-04-21T12:36:22"/>
        <d v="2024-05-20T18:40:00"/>
        <d v="2024-01-19T06:47:16"/>
        <d v="2024-01-30T06:03:38"/>
        <d v="2024-02-12T01:12:44"/>
        <d v="2024-02-28T12:07:16"/>
        <d v="2024-04-05T01:41:49"/>
        <d v="2024-04-16T00:58:11"/>
        <d v="2024-04-23T08:29:05"/>
        <d v="2024-05-28T02:10:55"/>
        <d v="2024-01-26T14:18:11"/>
        <d v="2024-03-04T23:45:27"/>
        <d v="2024-05-02T11:52:44"/>
        <d v="2024-02-02T21:49:05"/>
        <d v="2024-02-21T04:36:22"/>
        <d v="2024-02-26T16:14:33"/>
        <d v="2024-03-17T18:54:33"/>
        <d v="2024-04-30T16:00:00"/>
        <d v="2024-05-13T11:09:05"/>
        <d v="2024-05-31T17:56:22"/>
        <d v="2024-06-08T01:27:16"/>
        <d v="2024-01-06T11:38:11"/>
        <d v="2024-01-15T15:01:49"/>
        <d v="2024-03-08T15:30:55"/>
        <d v="2024-03-23T06:32:44"/>
        <d v="2024-06-20T20:36:22"/>
        <d v="2024-02-17T12:50:55"/>
        <d v="2024-04-28T20:07:16"/>
        <d v="2024-05-06T03:38:11"/>
        <d v="2024-05-15T07:01:49"/>
        <d v="2024-06-11T17:12:44"/>
        <d v="2024-03-15T23:01:49"/>
        <d v="2024-04-08T17:27:16"/>
        <d v="2024-05-09T19:23:38"/>
        <d v="2024-05-29T22:03:38"/>
      </sharedItems>
      <fieldGroup par="8"/>
    </cacheField>
    <cacheField name="Order_Value" numFmtId="0">
      <sharedItems containsSemiMixedTypes="0" containsString="0" containsNumber="1" minValue="213.89" maxValue="4928.4399999999996"/>
    </cacheField>
    <cacheField name="Delivery_Time_Days" numFmtId="0">
      <sharedItems containsSemiMixedTypes="0" containsString="0" containsNumber="1" containsInteger="1" minValue="1" maxValue="10"/>
    </cacheField>
    <cacheField name="Days (Order_Date)" numFmtId="0" databaseField="0">
      <fieldGroup base="4">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Order_Date)" numFmtId="0" databaseField="0">
      <fieldGroup base="4">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867267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9"/>
    <s v="Cust_1"/>
    <x v="0"/>
    <x v="0"/>
    <x v="0"/>
    <n v="3095.9"/>
    <n v="3"/>
  </r>
  <r>
    <s v="ORD1056"/>
    <s v="Cust_1"/>
    <x v="1"/>
    <x v="1"/>
    <x v="1"/>
    <n v="1979.94"/>
    <n v="3"/>
  </r>
  <r>
    <s v="ORD1090"/>
    <s v="Cust_1"/>
    <x v="2"/>
    <x v="0"/>
    <x v="2"/>
    <n v="4504.3500000000004"/>
    <n v="1"/>
  </r>
  <r>
    <s v="ORD1007"/>
    <s v="Cust_2"/>
    <x v="0"/>
    <x v="2"/>
    <x v="3"/>
    <n v="4186.1400000000003"/>
    <n v="9"/>
  </r>
  <r>
    <s v="ORD1027"/>
    <s v="Cust_2"/>
    <x v="1"/>
    <x v="0"/>
    <x v="4"/>
    <n v="750.91"/>
    <n v="7"/>
  </r>
  <r>
    <s v="ORD1049"/>
    <s v="Cust_2"/>
    <x v="0"/>
    <x v="1"/>
    <x v="5"/>
    <n v="4021.38"/>
    <n v="5"/>
  </r>
  <r>
    <s v="ORD1004"/>
    <s v="Cust_3"/>
    <x v="3"/>
    <x v="3"/>
    <x v="6"/>
    <n v="1443.99"/>
    <n v="2"/>
  </r>
  <r>
    <s v="ORD1013"/>
    <s v="Cust_3"/>
    <x v="0"/>
    <x v="0"/>
    <x v="7"/>
    <n v="4566.83"/>
    <n v="6"/>
  </r>
  <r>
    <s v="ORD1019"/>
    <s v="Cust_3"/>
    <x v="3"/>
    <x v="4"/>
    <x v="8"/>
    <n v="1127.49"/>
    <n v="7"/>
  </r>
  <r>
    <s v="ORD1039"/>
    <s v="Cust_3"/>
    <x v="3"/>
    <x v="4"/>
    <x v="9"/>
    <n v="4892.28"/>
    <n v="3"/>
  </r>
  <r>
    <s v="ORD1046"/>
    <s v="Cust_3"/>
    <x v="2"/>
    <x v="2"/>
    <x v="10"/>
    <n v="1378.76"/>
    <n v="3"/>
  </r>
  <r>
    <s v="ORD1057"/>
    <s v="Cust_3"/>
    <x v="2"/>
    <x v="3"/>
    <x v="11"/>
    <n v="2476.73"/>
    <n v="2"/>
  </r>
  <r>
    <s v="ORD1097"/>
    <s v="Cust_3"/>
    <x v="3"/>
    <x v="2"/>
    <x v="12"/>
    <n v="3895.68"/>
    <n v="1"/>
  </r>
  <r>
    <s v="ORD1021"/>
    <s v="Cust_4"/>
    <x v="0"/>
    <x v="4"/>
    <x v="13"/>
    <n v="2119.2199999999998"/>
    <n v="10"/>
  </r>
  <r>
    <s v="ORD1043"/>
    <s v="Cust_4"/>
    <x v="1"/>
    <x v="3"/>
    <x v="14"/>
    <n v="3029.34"/>
    <n v="5"/>
  </r>
  <r>
    <s v="ORD1055"/>
    <s v="Cust_4"/>
    <x v="2"/>
    <x v="0"/>
    <x v="15"/>
    <n v="3084.42"/>
    <n v="10"/>
  </r>
  <r>
    <s v="ORD1059"/>
    <s v="Cust_4"/>
    <x v="1"/>
    <x v="0"/>
    <x v="16"/>
    <n v="4148.37"/>
    <n v="4"/>
  </r>
  <r>
    <s v="ORD1080"/>
    <s v="Cust_4"/>
    <x v="2"/>
    <x v="0"/>
    <x v="17"/>
    <n v="3493.06"/>
    <n v="1"/>
  </r>
  <r>
    <s v="ORD1088"/>
    <s v="Cust_4"/>
    <x v="2"/>
    <x v="1"/>
    <x v="18"/>
    <n v="4406.38"/>
    <n v="9"/>
  </r>
  <r>
    <s v="ORD1093"/>
    <s v="Cust_4"/>
    <x v="1"/>
    <x v="0"/>
    <x v="19"/>
    <n v="3272.82"/>
    <n v="5"/>
  </r>
  <r>
    <s v="ORD1096"/>
    <s v="Cust_4"/>
    <x v="2"/>
    <x v="1"/>
    <x v="20"/>
    <n v="3957.65"/>
    <n v="4"/>
  </r>
  <r>
    <s v="ORD1000"/>
    <s v="Cust_5"/>
    <x v="2"/>
    <x v="3"/>
    <x v="21"/>
    <n v="2683.43"/>
    <n v="9"/>
  </r>
  <r>
    <s v="ORD1076"/>
    <s v="Cust_5"/>
    <x v="3"/>
    <x v="1"/>
    <x v="22"/>
    <n v="3857.65"/>
    <n v="2"/>
  </r>
  <r>
    <s v="ORD1091"/>
    <s v="Cust_5"/>
    <x v="1"/>
    <x v="4"/>
    <x v="23"/>
    <n v="3123.62"/>
    <n v="8"/>
  </r>
  <r>
    <s v="ORD1098"/>
    <s v="Cust_5"/>
    <x v="3"/>
    <x v="4"/>
    <x v="24"/>
    <n v="3029.41"/>
    <n v="5"/>
  </r>
  <r>
    <s v="ORD1025"/>
    <s v="Cust_6"/>
    <x v="3"/>
    <x v="4"/>
    <x v="25"/>
    <n v="1814.1"/>
    <n v="7"/>
  </r>
  <r>
    <s v="ORD1060"/>
    <s v="Cust_6"/>
    <x v="2"/>
    <x v="0"/>
    <x v="26"/>
    <n v="3558.34"/>
    <n v="8"/>
  </r>
  <r>
    <s v="ORD1092"/>
    <s v="Cust_6"/>
    <x v="3"/>
    <x v="4"/>
    <x v="27"/>
    <n v="1362.45"/>
    <n v="7"/>
  </r>
  <r>
    <s v="ORD1095"/>
    <s v="Cust_6"/>
    <x v="1"/>
    <x v="0"/>
    <x v="28"/>
    <n v="4069.69"/>
    <n v="4"/>
  </r>
  <r>
    <s v="ORD1001"/>
    <s v="Cust_10"/>
    <x v="1"/>
    <x v="2"/>
    <x v="29"/>
    <n v="796.01"/>
    <n v="7"/>
  </r>
  <r>
    <s v="ORD1072"/>
    <s v="Cust_10"/>
    <x v="2"/>
    <x v="4"/>
    <x v="30"/>
    <n v="4741.67"/>
    <n v="2"/>
  </r>
  <r>
    <s v="ORD1084"/>
    <s v="Cust_10"/>
    <x v="2"/>
    <x v="3"/>
    <x v="31"/>
    <n v="1204.02"/>
    <n v="6"/>
  </r>
  <r>
    <s v="ORD1085"/>
    <s v="Cust_10"/>
    <x v="1"/>
    <x v="1"/>
    <x v="32"/>
    <n v="2750.32"/>
    <n v="4"/>
  </r>
  <r>
    <s v="ORD1020"/>
    <s v="Cust_11"/>
    <x v="3"/>
    <x v="1"/>
    <x v="33"/>
    <n v="238.79"/>
    <n v="9"/>
  </r>
  <r>
    <s v="ORD1036"/>
    <s v="Cust_11"/>
    <x v="0"/>
    <x v="1"/>
    <x v="34"/>
    <n v="3096.69"/>
    <n v="9"/>
  </r>
  <r>
    <s v="ORD1040"/>
    <s v="Cust_11"/>
    <x v="0"/>
    <x v="3"/>
    <x v="35"/>
    <n v="2055.85"/>
    <n v="7"/>
  </r>
  <r>
    <s v="ORD1053"/>
    <s v="Cust_11"/>
    <x v="1"/>
    <x v="0"/>
    <x v="36"/>
    <n v="4437.5200000000004"/>
    <n v="6"/>
  </r>
  <r>
    <s v="ORD1075"/>
    <s v="Cust_11"/>
    <x v="2"/>
    <x v="3"/>
    <x v="37"/>
    <n v="3333.25"/>
    <n v="3"/>
  </r>
  <r>
    <s v="ORD1078"/>
    <s v="Cust_11"/>
    <x v="0"/>
    <x v="0"/>
    <x v="38"/>
    <n v="3259.5"/>
    <n v="5"/>
  </r>
  <r>
    <s v="ORD1099"/>
    <s v="Cust_11"/>
    <x v="0"/>
    <x v="1"/>
    <x v="39"/>
    <n v="2727.67"/>
    <n v="9"/>
  </r>
  <r>
    <s v="ORD1002"/>
    <s v="Cust_12"/>
    <x v="2"/>
    <x v="0"/>
    <x v="40"/>
    <n v="3257.09"/>
    <n v="9"/>
  </r>
  <r>
    <s v="ORD1015"/>
    <s v="Cust_12"/>
    <x v="0"/>
    <x v="1"/>
    <x v="41"/>
    <n v="2648.37"/>
    <n v="2"/>
  </r>
  <r>
    <s v="ORD1024"/>
    <s v="Cust_12"/>
    <x v="0"/>
    <x v="1"/>
    <x v="42"/>
    <n v="2409.31"/>
    <n v="10"/>
  </r>
  <r>
    <s v="ORD1044"/>
    <s v="Cust_12"/>
    <x v="3"/>
    <x v="1"/>
    <x v="43"/>
    <n v="4928.4399999999996"/>
    <n v="3"/>
  </r>
  <r>
    <s v="ORD1005"/>
    <s v="Cust_13"/>
    <x v="1"/>
    <x v="1"/>
    <x v="44"/>
    <n v="3769.77"/>
    <n v="1"/>
  </r>
  <r>
    <s v="ORD1029"/>
    <s v="Cust_13"/>
    <x v="0"/>
    <x v="1"/>
    <x v="45"/>
    <n v="3371.76"/>
    <n v="7"/>
  </r>
  <r>
    <s v="ORD1064"/>
    <s v="Cust_13"/>
    <x v="2"/>
    <x v="4"/>
    <x v="46"/>
    <n v="3450.57"/>
    <n v="7"/>
  </r>
  <r>
    <s v="ORD1070"/>
    <s v="Cust_13"/>
    <x v="3"/>
    <x v="3"/>
    <x v="47"/>
    <n v="2168.81"/>
    <n v="8"/>
  </r>
  <r>
    <s v="ORD1006"/>
    <s v="Cust_14"/>
    <x v="2"/>
    <x v="2"/>
    <x v="48"/>
    <n v="4712.12"/>
    <n v="1"/>
  </r>
  <r>
    <s v="ORD1012"/>
    <s v="Cust_14"/>
    <x v="0"/>
    <x v="4"/>
    <x v="49"/>
    <n v="2365.04"/>
    <n v="6"/>
  </r>
  <r>
    <s v="ORD1034"/>
    <s v="Cust_14"/>
    <x v="0"/>
    <x v="3"/>
    <x v="50"/>
    <n v="4184.42"/>
    <n v="1"/>
  </r>
  <r>
    <s v="ORD1022"/>
    <s v="Cust_15"/>
    <x v="1"/>
    <x v="2"/>
    <x v="51"/>
    <n v="431.18"/>
    <n v="8"/>
  </r>
  <r>
    <s v="ORD1033"/>
    <s v="Cust_15"/>
    <x v="3"/>
    <x v="4"/>
    <x v="52"/>
    <n v="1887.26"/>
    <n v="8"/>
  </r>
  <r>
    <s v="ORD1068"/>
    <s v="Cust_15"/>
    <x v="1"/>
    <x v="2"/>
    <x v="53"/>
    <n v="3557.88"/>
    <n v="7"/>
  </r>
  <r>
    <s v="ORD1079"/>
    <s v="Cust_15"/>
    <x v="0"/>
    <x v="4"/>
    <x v="54"/>
    <n v="3251.86"/>
    <n v="10"/>
  </r>
  <r>
    <s v="ORD1086"/>
    <s v="Cust_15"/>
    <x v="0"/>
    <x v="1"/>
    <x v="55"/>
    <n v="720.88"/>
    <n v="7"/>
  </r>
  <r>
    <s v="ORD1011"/>
    <s v="Cust_16"/>
    <x v="2"/>
    <x v="3"/>
    <x v="56"/>
    <n v="3023.39"/>
    <n v="3"/>
  </r>
  <r>
    <s v="ORD1038"/>
    <s v="Cust_16"/>
    <x v="1"/>
    <x v="0"/>
    <x v="57"/>
    <n v="3018.43"/>
    <n v="9"/>
  </r>
  <r>
    <s v="ORD1047"/>
    <s v="Cust_16"/>
    <x v="2"/>
    <x v="1"/>
    <x v="58"/>
    <n v="4894.83"/>
    <n v="5"/>
  </r>
  <r>
    <s v="ORD1048"/>
    <s v="Cust_16"/>
    <x v="0"/>
    <x v="3"/>
    <x v="59"/>
    <n v="1145.97"/>
    <n v="5"/>
  </r>
  <r>
    <s v="ORD1050"/>
    <s v="Cust_16"/>
    <x v="2"/>
    <x v="2"/>
    <x v="60"/>
    <n v="2112.1"/>
    <n v="3"/>
  </r>
  <r>
    <s v="ORD1063"/>
    <s v="Cust_16"/>
    <x v="1"/>
    <x v="4"/>
    <x v="61"/>
    <n v="493.7"/>
    <n v="1"/>
  </r>
  <r>
    <s v="ORD1017"/>
    <s v="Cust_17"/>
    <x v="2"/>
    <x v="1"/>
    <x v="62"/>
    <n v="3053.33"/>
    <n v="3"/>
  </r>
  <r>
    <s v="ORD1030"/>
    <s v="Cust_17"/>
    <x v="3"/>
    <x v="0"/>
    <x v="63"/>
    <n v="1329.06"/>
    <n v="3"/>
  </r>
  <r>
    <s v="ORD1051"/>
    <s v="Cust_17"/>
    <x v="1"/>
    <x v="2"/>
    <x v="64"/>
    <n v="663.52"/>
    <n v="4"/>
  </r>
  <r>
    <s v="ORD1061"/>
    <s v="Cust_17"/>
    <x v="2"/>
    <x v="3"/>
    <x v="65"/>
    <n v="1602.9"/>
    <n v="9"/>
  </r>
  <r>
    <s v="ORD1077"/>
    <s v="Cust_17"/>
    <x v="0"/>
    <x v="3"/>
    <x v="66"/>
    <n v="2724.01"/>
    <n v="9"/>
  </r>
  <r>
    <s v="ORD1010"/>
    <s v="Cust_18"/>
    <x v="1"/>
    <x v="1"/>
    <x v="67"/>
    <n v="4879.17"/>
    <n v="2"/>
  </r>
  <r>
    <s v="ORD1016"/>
    <s v="Cust_18"/>
    <x v="0"/>
    <x v="3"/>
    <x v="68"/>
    <n v="640.12"/>
    <n v="9"/>
  </r>
  <r>
    <s v="ORD1023"/>
    <s v="Cust_18"/>
    <x v="2"/>
    <x v="1"/>
    <x v="69"/>
    <n v="4837.37"/>
    <n v="6"/>
  </r>
  <r>
    <s v="ORD1032"/>
    <s v="Cust_18"/>
    <x v="2"/>
    <x v="2"/>
    <x v="70"/>
    <n v="2498.5300000000002"/>
    <n v="4"/>
  </r>
  <r>
    <s v="ORD1052"/>
    <s v="Cust_18"/>
    <x v="2"/>
    <x v="2"/>
    <x v="71"/>
    <n v="4581.88"/>
    <n v="8"/>
  </r>
  <r>
    <s v="ORD1058"/>
    <s v="Cust_18"/>
    <x v="1"/>
    <x v="0"/>
    <x v="72"/>
    <n v="1326.3"/>
    <n v="4"/>
  </r>
  <r>
    <s v="ORD1062"/>
    <s v="Cust_18"/>
    <x v="2"/>
    <x v="2"/>
    <x v="73"/>
    <n v="3756"/>
    <n v="9"/>
  </r>
  <r>
    <s v="ORD1081"/>
    <s v="Cust_18"/>
    <x v="3"/>
    <x v="3"/>
    <x v="74"/>
    <n v="2677.95"/>
    <n v="4"/>
  </r>
  <r>
    <s v="ORD1014"/>
    <s v="Cust_19"/>
    <x v="1"/>
    <x v="0"/>
    <x v="75"/>
    <n v="2726.31"/>
    <n v="10"/>
  </r>
  <r>
    <s v="ORD1035"/>
    <s v="Cust_19"/>
    <x v="1"/>
    <x v="4"/>
    <x v="76"/>
    <n v="2269.04"/>
    <n v="1"/>
  </r>
  <r>
    <s v="ORD1067"/>
    <s v="Cust_19"/>
    <x v="3"/>
    <x v="1"/>
    <x v="77"/>
    <n v="3648.26"/>
    <n v="5"/>
  </r>
  <r>
    <s v="ORD1018"/>
    <s v="Cust_20"/>
    <x v="1"/>
    <x v="0"/>
    <x v="78"/>
    <n v="3993.74"/>
    <n v="6"/>
  </r>
  <r>
    <s v="ORD1028"/>
    <s v="Cust_20"/>
    <x v="0"/>
    <x v="1"/>
    <x v="79"/>
    <n v="4182.45"/>
    <n v="6"/>
  </r>
  <r>
    <s v="ORD1031"/>
    <s v="Cust_20"/>
    <x v="2"/>
    <x v="3"/>
    <x v="80"/>
    <n v="2822.52"/>
    <n v="6"/>
  </r>
  <r>
    <s v="ORD1042"/>
    <s v="Cust_20"/>
    <x v="2"/>
    <x v="4"/>
    <x v="81"/>
    <n v="1824.15"/>
    <n v="3"/>
  </r>
  <r>
    <s v="ORD1066"/>
    <s v="Cust_20"/>
    <x v="1"/>
    <x v="3"/>
    <x v="82"/>
    <n v="2805.45"/>
    <n v="9"/>
  </r>
  <r>
    <s v="ORD1073"/>
    <s v="Cust_20"/>
    <x v="0"/>
    <x v="3"/>
    <x v="83"/>
    <n v="4862.96"/>
    <n v="7"/>
  </r>
  <r>
    <s v="ORD1083"/>
    <s v="Cust_20"/>
    <x v="0"/>
    <x v="4"/>
    <x v="84"/>
    <n v="4696.9799999999996"/>
    <n v="7"/>
  </r>
  <r>
    <s v="ORD1087"/>
    <s v="Cust_20"/>
    <x v="0"/>
    <x v="1"/>
    <x v="85"/>
    <n v="213.89"/>
    <n v="6"/>
  </r>
  <r>
    <s v="ORD1003"/>
    <s v="Cust_7"/>
    <x v="0"/>
    <x v="3"/>
    <x v="86"/>
    <n v="1096.51"/>
    <n v="4"/>
  </r>
  <r>
    <s v="ORD1008"/>
    <s v="Cust_7"/>
    <x v="2"/>
    <x v="2"/>
    <x v="87"/>
    <n v="1075.52"/>
    <n v="3"/>
  </r>
  <r>
    <s v="ORD1037"/>
    <s v="Cust_7"/>
    <x v="2"/>
    <x v="3"/>
    <x v="88"/>
    <n v="2499.34"/>
    <n v="4"/>
  </r>
  <r>
    <s v="ORD1045"/>
    <s v="Cust_7"/>
    <x v="2"/>
    <x v="3"/>
    <x v="89"/>
    <n v="2477.83"/>
    <n v="7"/>
  </r>
  <r>
    <s v="ORD1094"/>
    <s v="Cust_7"/>
    <x v="3"/>
    <x v="3"/>
    <x v="90"/>
    <n v="3651.1"/>
    <n v="8"/>
  </r>
  <r>
    <s v="ORD1026"/>
    <s v="Cust_8"/>
    <x v="1"/>
    <x v="1"/>
    <x v="91"/>
    <n v="334.29"/>
    <n v="4"/>
  </r>
  <r>
    <s v="ORD1065"/>
    <s v="Cust_8"/>
    <x v="0"/>
    <x v="4"/>
    <x v="92"/>
    <n v="1442.53"/>
    <n v="9"/>
  </r>
  <r>
    <s v="ORD1069"/>
    <s v="Cust_8"/>
    <x v="3"/>
    <x v="1"/>
    <x v="93"/>
    <n v="3218.72"/>
    <n v="8"/>
  </r>
  <r>
    <s v="ORD1074"/>
    <s v="Cust_8"/>
    <x v="1"/>
    <x v="1"/>
    <x v="94"/>
    <n v="813.73"/>
    <n v="9"/>
  </r>
  <r>
    <s v="ORD1089"/>
    <s v="Cust_8"/>
    <x v="0"/>
    <x v="4"/>
    <x v="95"/>
    <n v="2776.01"/>
    <n v="1"/>
  </r>
  <r>
    <s v="ORD1041"/>
    <s v="Cust_9"/>
    <x v="3"/>
    <x v="0"/>
    <x v="96"/>
    <n v="1181.8699999999999"/>
    <n v="2"/>
  </r>
  <r>
    <s v="ORD1054"/>
    <s v="Cust_9"/>
    <x v="1"/>
    <x v="0"/>
    <x v="97"/>
    <n v="2261.5"/>
    <n v="3"/>
  </r>
  <r>
    <s v="ORD1071"/>
    <s v="Cust_9"/>
    <x v="0"/>
    <x v="3"/>
    <x v="98"/>
    <n v="693.97"/>
    <n v="6"/>
  </r>
  <r>
    <s v="ORD1082"/>
    <s v="Cust_9"/>
    <x v="0"/>
    <x v="1"/>
    <x v="99"/>
    <n v="4839.01"/>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AE4E3-07BA-48FC-A2CA-25F0170FF8F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D18:E24" firstHeaderRow="1" firstDataRow="1" firstDataCol="1"/>
  <pivotFields count="9">
    <pivotField showAll="0"/>
    <pivotField showAll="0"/>
    <pivotField showAll="0">
      <items count="5">
        <item x="2"/>
        <item x="3"/>
        <item x="1"/>
        <item x="0"/>
        <item t="default"/>
      </items>
    </pivotField>
    <pivotField axis="axisRow" showAll="0">
      <items count="6">
        <item x="2"/>
        <item x="0"/>
        <item x="3"/>
        <item x="4"/>
        <item x="1"/>
        <item t="default"/>
      </items>
    </pivotField>
    <pivotField numFmtId="164" showAll="0">
      <items count="101">
        <item x="21"/>
        <item x="29"/>
        <item x="40"/>
        <item x="86"/>
        <item x="6"/>
        <item x="44"/>
        <item x="48"/>
        <item x="3"/>
        <item x="87"/>
        <item x="0"/>
        <item x="67"/>
        <item x="56"/>
        <item x="49"/>
        <item x="7"/>
        <item x="75"/>
        <item x="41"/>
        <item x="68"/>
        <item x="62"/>
        <item x="78"/>
        <item x="8"/>
        <item x="33"/>
        <item x="13"/>
        <item x="51"/>
        <item x="69"/>
        <item x="42"/>
        <item x="25"/>
        <item x="91"/>
        <item x="4"/>
        <item x="79"/>
        <item x="45"/>
        <item x="63"/>
        <item x="80"/>
        <item x="70"/>
        <item x="52"/>
        <item x="50"/>
        <item x="76"/>
        <item x="34"/>
        <item x="88"/>
        <item x="57"/>
        <item x="9"/>
        <item x="35"/>
        <item x="96"/>
        <item x="81"/>
        <item x="14"/>
        <item x="43"/>
        <item x="89"/>
        <item x="10"/>
        <item x="58"/>
        <item x="59"/>
        <item x="5"/>
        <item x="60"/>
        <item x="64"/>
        <item x="71"/>
        <item x="36"/>
        <item x="97"/>
        <item x="15"/>
        <item x="1"/>
        <item x="11"/>
        <item x="72"/>
        <item x="16"/>
        <item x="26"/>
        <item x="65"/>
        <item x="73"/>
        <item x="61"/>
        <item x="46"/>
        <item x="92"/>
        <item x="82"/>
        <item x="77"/>
        <item x="53"/>
        <item x="93"/>
        <item x="47"/>
        <item x="98"/>
        <item x="30"/>
        <item x="83"/>
        <item x="94"/>
        <item x="37"/>
        <item x="22"/>
        <item x="66"/>
        <item x="38"/>
        <item x="54"/>
        <item x="17"/>
        <item x="74"/>
        <item x="99"/>
        <item x="84"/>
        <item x="31"/>
        <item x="32"/>
        <item x="55"/>
        <item x="85"/>
        <item x="18"/>
        <item x="95"/>
        <item x="2"/>
        <item x="23"/>
        <item x="27"/>
        <item x="19"/>
        <item x="90"/>
        <item x="28"/>
        <item x="20"/>
        <item x="12"/>
        <item x="24"/>
        <item x="3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ales Value by Product" fld="5" baseField="3"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B6A325-FD07-4A7C-B985-5B339699C7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10:B15" firstHeaderRow="1" firstDataRow="1" firstDataCol="1"/>
  <pivotFields count="9">
    <pivotField showAll="0"/>
    <pivotField showAll="0"/>
    <pivotField axis="axisRow" showAll="0">
      <items count="5">
        <item x="2"/>
        <item x="3"/>
        <item x="1"/>
        <item x="0"/>
        <item t="default"/>
      </items>
    </pivotField>
    <pivotField showAll="0">
      <items count="6">
        <item x="2"/>
        <item x="0"/>
        <item x="3"/>
        <item x="4"/>
        <item x="1"/>
        <item t="default"/>
      </items>
    </pivotField>
    <pivotField numFmtId="164" showAll="0">
      <items count="101">
        <item x="21"/>
        <item x="29"/>
        <item x="40"/>
        <item x="86"/>
        <item x="6"/>
        <item x="44"/>
        <item x="48"/>
        <item x="3"/>
        <item x="87"/>
        <item x="0"/>
        <item x="67"/>
        <item x="56"/>
        <item x="49"/>
        <item x="7"/>
        <item x="75"/>
        <item x="41"/>
        <item x="68"/>
        <item x="62"/>
        <item x="78"/>
        <item x="8"/>
        <item x="33"/>
        <item x="13"/>
        <item x="51"/>
        <item x="69"/>
        <item x="42"/>
        <item x="25"/>
        <item x="91"/>
        <item x="4"/>
        <item x="79"/>
        <item x="45"/>
        <item x="63"/>
        <item x="80"/>
        <item x="70"/>
        <item x="52"/>
        <item x="50"/>
        <item x="76"/>
        <item x="34"/>
        <item x="88"/>
        <item x="57"/>
        <item x="9"/>
        <item x="35"/>
        <item x="96"/>
        <item x="81"/>
        <item x="14"/>
        <item x="43"/>
        <item x="89"/>
        <item x="10"/>
        <item x="58"/>
        <item x="59"/>
        <item x="5"/>
        <item x="60"/>
        <item x="64"/>
        <item x="71"/>
        <item x="36"/>
        <item x="97"/>
        <item x="15"/>
        <item x="1"/>
        <item x="11"/>
        <item x="72"/>
        <item x="16"/>
        <item x="26"/>
        <item x="65"/>
        <item x="73"/>
        <item x="61"/>
        <item x="46"/>
        <item x="92"/>
        <item x="82"/>
        <item x="77"/>
        <item x="53"/>
        <item x="93"/>
        <item x="47"/>
        <item x="98"/>
        <item x="30"/>
        <item x="83"/>
        <item x="94"/>
        <item x="37"/>
        <item x="22"/>
        <item x="66"/>
        <item x="38"/>
        <item x="54"/>
        <item x="17"/>
        <item x="74"/>
        <item x="99"/>
        <item x="84"/>
        <item x="31"/>
        <item x="32"/>
        <item x="55"/>
        <item x="85"/>
        <item x="18"/>
        <item x="95"/>
        <item x="2"/>
        <item x="23"/>
        <item x="27"/>
        <item x="19"/>
        <item x="90"/>
        <item x="28"/>
        <item x="20"/>
        <item x="12"/>
        <item x="24"/>
        <item x="3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ales Value by Region" fld="5"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F393C-FFEA-4EF7-9176-5F30B1706B9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10:E15" firstHeaderRow="1" firstDataRow="1" firstDataCol="1"/>
  <pivotFields count="9">
    <pivotField showAll="0"/>
    <pivotField showAll="0"/>
    <pivotField axis="axisRow" showAll="0">
      <items count="5">
        <item x="2"/>
        <item x="3"/>
        <item x="1"/>
        <item x="0"/>
        <item t="default"/>
      </items>
    </pivotField>
    <pivotField showAll="0"/>
    <pivotField numFmtId="164" showAll="0">
      <items count="101">
        <item x="21"/>
        <item x="29"/>
        <item x="40"/>
        <item x="86"/>
        <item x="6"/>
        <item x="44"/>
        <item x="48"/>
        <item x="3"/>
        <item x="87"/>
        <item x="0"/>
        <item x="67"/>
        <item x="56"/>
        <item x="49"/>
        <item x="7"/>
        <item x="75"/>
        <item x="41"/>
        <item x="68"/>
        <item x="62"/>
        <item x="78"/>
        <item x="8"/>
        <item x="33"/>
        <item x="13"/>
        <item x="51"/>
        <item x="69"/>
        <item x="42"/>
        <item x="25"/>
        <item x="91"/>
        <item x="4"/>
        <item x="79"/>
        <item x="45"/>
        <item x="63"/>
        <item x="80"/>
        <item x="70"/>
        <item x="52"/>
        <item x="50"/>
        <item x="76"/>
        <item x="34"/>
        <item x="88"/>
        <item x="57"/>
        <item x="9"/>
        <item x="35"/>
        <item x="96"/>
        <item x="81"/>
        <item x="14"/>
        <item x="43"/>
        <item x="89"/>
        <item x="10"/>
        <item x="58"/>
        <item x="59"/>
        <item x="5"/>
        <item x="60"/>
        <item x="64"/>
        <item x="71"/>
        <item x="36"/>
        <item x="97"/>
        <item x="15"/>
        <item x="1"/>
        <item x="11"/>
        <item x="72"/>
        <item x="16"/>
        <item x="26"/>
        <item x="65"/>
        <item x="73"/>
        <item x="61"/>
        <item x="46"/>
        <item x="92"/>
        <item x="82"/>
        <item x="77"/>
        <item x="53"/>
        <item x="93"/>
        <item x="47"/>
        <item x="98"/>
        <item x="30"/>
        <item x="83"/>
        <item x="94"/>
        <item x="37"/>
        <item x="22"/>
        <item x="66"/>
        <item x="38"/>
        <item x="54"/>
        <item x="17"/>
        <item x="74"/>
        <item x="99"/>
        <item x="84"/>
        <item x="31"/>
        <item x="32"/>
        <item x="55"/>
        <item x="85"/>
        <item x="18"/>
        <item x="95"/>
        <item x="2"/>
        <item x="23"/>
        <item x="27"/>
        <item x="19"/>
        <item x="90"/>
        <item x="28"/>
        <item x="20"/>
        <item x="12"/>
        <item x="24"/>
        <item x="39"/>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Average Delivery Time" fld="6"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0242F4-F528-4071-B4C4-683AD90D94B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A18:B25" firstHeaderRow="1" firstDataRow="1" firstDataCol="1"/>
  <pivotFields count="9">
    <pivotField showAll="0"/>
    <pivotField showAll="0"/>
    <pivotField showAll="0"/>
    <pivotField showAll="0"/>
    <pivotField numFmtId="164" showAll="0">
      <items count="101">
        <item x="21"/>
        <item x="29"/>
        <item x="40"/>
        <item x="86"/>
        <item x="6"/>
        <item x="44"/>
        <item x="48"/>
        <item x="3"/>
        <item x="87"/>
        <item x="0"/>
        <item x="67"/>
        <item x="56"/>
        <item x="49"/>
        <item x="7"/>
        <item x="75"/>
        <item x="41"/>
        <item x="68"/>
        <item x="62"/>
        <item x="78"/>
        <item x="8"/>
        <item x="33"/>
        <item x="13"/>
        <item x="51"/>
        <item x="69"/>
        <item x="42"/>
        <item x="25"/>
        <item x="91"/>
        <item x="4"/>
        <item x="79"/>
        <item x="45"/>
        <item x="63"/>
        <item x="80"/>
        <item x="70"/>
        <item x="52"/>
        <item x="50"/>
        <item x="76"/>
        <item x="34"/>
        <item x="88"/>
        <item x="57"/>
        <item x="9"/>
        <item x="35"/>
        <item x="96"/>
        <item x="81"/>
        <item x="14"/>
        <item x="43"/>
        <item x="89"/>
        <item x="10"/>
        <item x="58"/>
        <item x="59"/>
        <item x="5"/>
        <item x="60"/>
        <item x="64"/>
        <item x="71"/>
        <item x="36"/>
        <item x="97"/>
        <item x="15"/>
        <item x="1"/>
        <item x="11"/>
        <item x="72"/>
        <item x="16"/>
        <item x="26"/>
        <item x="65"/>
        <item x="73"/>
        <item x="61"/>
        <item x="46"/>
        <item x="92"/>
        <item x="82"/>
        <item x="77"/>
        <item x="53"/>
        <item x="93"/>
        <item x="47"/>
        <item x="98"/>
        <item x="30"/>
        <item x="83"/>
        <item x="94"/>
        <item x="37"/>
        <item x="22"/>
        <item x="66"/>
        <item x="38"/>
        <item x="54"/>
        <item x="17"/>
        <item x="74"/>
        <item x="99"/>
        <item x="84"/>
        <item x="31"/>
        <item x="32"/>
        <item x="55"/>
        <item x="85"/>
        <item x="18"/>
        <item x="95"/>
        <item x="2"/>
        <item x="23"/>
        <item x="27"/>
        <item x="19"/>
        <item x="90"/>
        <item x="28"/>
        <item x="20"/>
        <item x="12"/>
        <item x="24"/>
        <item x="39"/>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7">
    <i>
      <x v="1"/>
    </i>
    <i>
      <x v="2"/>
    </i>
    <i>
      <x v="3"/>
    </i>
    <i>
      <x v="4"/>
    </i>
    <i>
      <x v="5"/>
    </i>
    <i>
      <x v="6"/>
    </i>
    <i t="grand">
      <x/>
    </i>
  </rowItems>
  <colItems count="1">
    <i/>
  </colItems>
  <dataFields count="1">
    <dataField name="Sales Value by Month" fld="5" baseField="8"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F89577-CC97-4F20-A981-FBE7870E16F2}" sourceName="Region">
  <pivotTables>
    <pivotTable tabId="3" name="PivotTable11"/>
  </pivotTables>
  <data>
    <tabular pivotCacheId="186726743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29706EBF-2A99-4A23-83AB-83FB3B6694AC}" sourceName="Product_Category">
  <pivotTables>
    <pivotTable tabId="3" name="PivotTable10"/>
  </pivotTables>
  <data>
    <tabular pivotCacheId="1867267437">
      <items count="5">
        <i x="2" s="1"/>
        <i x="0"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55B977-34D0-443B-BEBA-2015A7928961}" cache="Slicer_Region" caption="Region" rowHeight="234950"/>
  <slicer name="Product_Category 1" xr10:uid="{81E20A79-A43C-47BA-96FF-0123096A73A6}" cache="Slicer_Product_Category1"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47D740-26C9-472E-B47E-1E068FBFF2FB}" name="Table72" displayName="Table72" ref="A2:B7" totalsRowShown="0" headerRowDxfId="2">
  <autoFilter ref="A2:B7" xr:uid="{3747D740-26C9-472E-B47E-1E068FBFF2FB}"/>
  <tableColumns count="2">
    <tableColumn id="1" xr3:uid="{3C768ABB-889A-4D5F-B790-5595A7EC8D7A}" name="Top5 customers" dataDxfId="1"/>
    <tableColumn id="2" xr3:uid="{1AA8C4C9-E89E-4732-BFF0-20BE172AA059}" name="Sales value"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0E5311-79BF-4DA3-89E1-A40B910796E9}" name="Table93" displayName="Table93" ref="H2:I6" totalsRowShown="0" headerRowDxfId="8">
  <autoFilter ref="H2:I6" xr:uid="{980E5311-79BF-4DA3-89E1-A40B910796E9}"/>
  <tableColumns count="2">
    <tableColumn id="1" xr3:uid="{9A34AF45-AD7E-4097-9848-B2FF590EEB00}" name="Region" dataDxfId="7"/>
    <tableColumn id="2" xr3:uid="{9D7E669B-8727-4D04-8A8C-9632F590166E}" name="Average delivery time" dataDxfId="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9281FF-5E6F-4F38-BEF7-9E0C582DD71A}" name="Table104" displayName="Table104" ref="D2:F7" totalsRowShown="0">
  <autoFilter ref="D2:F7" xr:uid="{799281FF-5E6F-4F38-BEF7-9E0C582DD71A}"/>
  <tableColumns count="3">
    <tableColumn id="1" xr3:uid="{1EA453F9-612F-476F-873C-09719D5504B6}" name="Product" dataDxfId="5"/>
    <tableColumn id="2" xr3:uid="{ECE6FDA5-9366-423B-BED8-7C8042675C94}" name="Revenue" dataDxfId="4"/>
    <tableColumn id="3" xr3:uid="{8901DB66-1A44-45F6-9818-3813254B3C26}" name="Orders" dataDxfId="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opLeftCell="A10" zoomScale="115" zoomScaleNormal="115" workbookViewId="0">
      <selection activeCell="I2" sqref="I2"/>
    </sheetView>
  </sheetViews>
  <sheetFormatPr defaultRowHeight="14.4" x14ac:dyDescent="0.3"/>
  <cols>
    <col min="1" max="1" width="12.21875" customWidth="1"/>
    <col min="4" max="4" width="17.109375" customWidth="1"/>
    <col min="5" max="5" width="21.21875" customWidth="1"/>
    <col min="6" max="6" width="14.109375" customWidth="1"/>
    <col min="7" max="7" width="20.5546875" customWidth="1"/>
    <col min="9" max="9" width="15.33203125" customWidth="1"/>
  </cols>
  <sheetData>
    <row r="1" spans="1:10" x14ac:dyDescent="0.3">
      <c r="A1" s="1" t="s">
        <v>0</v>
      </c>
      <c r="B1" s="1" t="s">
        <v>1</v>
      </c>
      <c r="C1" s="1" t="s">
        <v>2</v>
      </c>
      <c r="D1" s="1" t="s">
        <v>3</v>
      </c>
      <c r="E1" s="1" t="s">
        <v>4</v>
      </c>
      <c r="F1" s="1" t="s">
        <v>5</v>
      </c>
      <c r="G1" s="1" t="s">
        <v>6</v>
      </c>
      <c r="H1" s="7" t="s">
        <v>144</v>
      </c>
      <c r="I1" s="5"/>
    </row>
    <row r="2" spans="1:10" x14ac:dyDescent="0.3">
      <c r="A2" t="s">
        <v>16</v>
      </c>
      <c r="B2" t="s">
        <v>115</v>
      </c>
      <c r="C2" t="s">
        <v>129</v>
      </c>
      <c r="D2" t="s">
        <v>133</v>
      </c>
      <c r="E2" s="2">
        <v>45308.454545454537</v>
      </c>
      <c r="F2" s="6">
        <v>3095.9</v>
      </c>
      <c r="G2">
        <v>3</v>
      </c>
      <c r="H2" s="6">
        <v>9580.19</v>
      </c>
      <c r="J2" s="6"/>
    </row>
    <row r="3" spans="1:10" x14ac:dyDescent="0.3">
      <c r="A3" t="s">
        <v>63</v>
      </c>
      <c r="B3" t="s">
        <v>115</v>
      </c>
      <c r="C3" t="s">
        <v>128</v>
      </c>
      <c r="D3" t="s">
        <v>134</v>
      </c>
      <c r="E3" s="2">
        <v>45394.38383838383</v>
      </c>
      <c r="F3" s="6">
        <v>1979.94</v>
      </c>
      <c r="G3">
        <v>3</v>
      </c>
      <c r="H3" s="6">
        <v>9580.19</v>
      </c>
      <c r="J3" s="6"/>
    </row>
    <row r="4" spans="1:10" x14ac:dyDescent="0.3">
      <c r="A4" t="s">
        <v>97</v>
      </c>
      <c r="B4" t="s">
        <v>115</v>
      </c>
      <c r="C4" t="s">
        <v>127</v>
      </c>
      <c r="D4" t="s">
        <v>133</v>
      </c>
      <c r="E4" s="2">
        <v>45456.545454545449</v>
      </c>
      <c r="F4" s="6">
        <v>4504.3500000000004</v>
      </c>
      <c r="G4">
        <v>1</v>
      </c>
      <c r="H4" s="6">
        <v>9580.19</v>
      </c>
      <c r="J4" s="6"/>
    </row>
    <row r="5" spans="1:10" x14ac:dyDescent="0.3">
      <c r="A5" t="s">
        <v>14</v>
      </c>
      <c r="B5" t="s">
        <v>114</v>
      </c>
      <c r="C5" t="s">
        <v>129</v>
      </c>
      <c r="D5" t="s">
        <v>132</v>
      </c>
      <c r="E5" s="2">
        <v>45304.797979797971</v>
      </c>
      <c r="F5" s="6">
        <v>4186.1400000000003</v>
      </c>
      <c r="G5">
        <v>9</v>
      </c>
      <c r="H5" s="6">
        <v>8958.43</v>
      </c>
      <c r="J5" s="6"/>
    </row>
    <row r="6" spans="1:10" x14ac:dyDescent="0.3">
      <c r="A6" t="s">
        <v>34</v>
      </c>
      <c r="B6" t="s">
        <v>114</v>
      </c>
      <c r="C6" t="s">
        <v>128</v>
      </c>
      <c r="D6" t="s">
        <v>133</v>
      </c>
      <c r="E6" s="2">
        <v>45341.363636363632</v>
      </c>
      <c r="F6" s="6">
        <v>750.91</v>
      </c>
      <c r="G6">
        <v>7</v>
      </c>
      <c r="H6" s="6">
        <v>8958.43</v>
      </c>
      <c r="J6" s="6"/>
    </row>
    <row r="7" spans="1:10" x14ac:dyDescent="0.3">
      <c r="A7" t="s">
        <v>56</v>
      </c>
      <c r="B7" t="s">
        <v>114</v>
      </c>
      <c r="C7" t="s">
        <v>129</v>
      </c>
      <c r="D7" t="s">
        <v>134</v>
      </c>
      <c r="E7" s="2">
        <v>45381.585858585859</v>
      </c>
      <c r="F7" s="6">
        <v>4021.38</v>
      </c>
      <c r="G7">
        <v>5</v>
      </c>
      <c r="H7" s="6">
        <v>8958.43</v>
      </c>
    </row>
    <row r="8" spans="1:10" x14ac:dyDescent="0.3">
      <c r="A8" t="s">
        <v>11</v>
      </c>
      <c r="B8" t="s">
        <v>111</v>
      </c>
      <c r="C8" t="s">
        <v>130</v>
      </c>
      <c r="D8" t="s">
        <v>131</v>
      </c>
      <c r="E8" s="2">
        <v>45299.313131313123</v>
      </c>
      <c r="F8" s="6">
        <v>1443.99</v>
      </c>
      <c r="G8">
        <v>2</v>
      </c>
      <c r="H8" s="6">
        <v>19781.759999999998</v>
      </c>
    </row>
    <row r="9" spans="1:10" x14ac:dyDescent="0.3">
      <c r="A9" t="s">
        <v>20</v>
      </c>
      <c r="B9" t="s">
        <v>111</v>
      </c>
      <c r="C9" t="s">
        <v>129</v>
      </c>
      <c r="D9" t="s">
        <v>133</v>
      </c>
      <c r="E9" s="2">
        <v>45315.767676767668</v>
      </c>
      <c r="F9" s="6">
        <v>4566.83</v>
      </c>
      <c r="G9">
        <v>6</v>
      </c>
      <c r="H9" s="6">
        <v>19781.759999999998</v>
      </c>
    </row>
    <row r="10" spans="1:10" x14ac:dyDescent="0.3">
      <c r="A10" t="s">
        <v>26</v>
      </c>
      <c r="B10" t="s">
        <v>111</v>
      </c>
      <c r="C10" t="s">
        <v>130</v>
      </c>
      <c r="D10" t="s">
        <v>135</v>
      </c>
      <c r="E10" s="2">
        <v>45326.737373737371</v>
      </c>
      <c r="F10" s="6">
        <v>1127.49</v>
      </c>
      <c r="G10">
        <v>7</v>
      </c>
      <c r="H10" s="6">
        <v>19781.759999999998</v>
      </c>
    </row>
    <row r="11" spans="1:10" x14ac:dyDescent="0.3">
      <c r="A11" t="s">
        <v>46</v>
      </c>
      <c r="B11" t="s">
        <v>111</v>
      </c>
      <c r="C11" t="s">
        <v>130</v>
      </c>
      <c r="D11" t="s">
        <v>135</v>
      </c>
      <c r="E11" s="2">
        <v>45363.303030303017</v>
      </c>
      <c r="F11" s="6">
        <v>4892.28</v>
      </c>
      <c r="G11">
        <v>3</v>
      </c>
      <c r="H11" s="6">
        <v>19781.759999999998</v>
      </c>
    </row>
    <row r="12" spans="1:10" x14ac:dyDescent="0.3">
      <c r="A12" t="s">
        <v>53</v>
      </c>
      <c r="B12" t="s">
        <v>111</v>
      </c>
      <c r="C12" t="s">
        <v>127</v>
      </c>
      <c r="D12" t="s">
        <v>132</v>
      </c>
      <c r="E12" s="2">
        <v>45376.101010101003</v>
      </c>
      <c r="F12" s="6">
        <v>1378.76</v>
      </c>
      <c r="G12">
        <v>3</v>
      </c>
      <c r="H12" s="6">
        <v>19781.759999999998</v>
      </c>
    </row>
    <row r="13" spans="1:10" x14ac:dyDescent="0.3">
      <c r="A13" t="s">
        <v>64</v>
      </c>
      <c r="B13" t="s">
        <v>111</v>
      </c>
      <c r="C13" t="s">
        <v>127</v>
      </c>
      <c r="D13" t="s">
        <v>131</v>
      </c>
      <c r="E13" s="2">
        <v>45396.21212121212</v>
      </c>
      <c r="F13" s="6">
        <v>2476.73</v>
      </c>
      <c r="G13">
        <v>2</v>
      </c>
      <c r="H13" s="6">
        <v>19781.759999999998</v>
      </c>
    </row>
    <row r="14" spans="1:10" x14ac:dyDescent="0.3">
      <c r="A14" t="s">
        <v>104</v>
      </c>
      <c r="B14" t="s">
        <v>111</v>
      </c>
      <c r="C14" t="s">
        <v>130</v>
      </c>
      <c r="D14" t="s">
        <v>132</v>
      </c>
      <c r="E14" s="2">
        <v>45469.343434343427</v>
      </c>
      <c r="F14" s="6">
        <v>3895.68</v>
      </c>
      <c r="G14">
        <v>1</v>
      </c>
      <c r="H14" s="6">
        <v>19781.759999999998</v>
      </c>
    </row>
    <row r="15" spans="1:10" x14ac:dyDescent="0.3">
      <c r="A15" t="s">
        <v>28</v>
      </c>
      <c r="B15" t="s">
        <v>122</v>
      </c>
      <c r="C15" t="s">
        <v>129</v>
      </c>
      <c r="D15" t="s">
        <v>135</v>
      </c>
      <c r="E15" s="2">
        <v>45330.393939393944</v>
      </c>
      <c r="F15" s="6">
        <v>2119.2199999999998</v>
      </c>
      <c r="G15">
        <v>10</v>
      </c>
      <c r="H15" s="6">
        <v>27511.26</v>
      </c>
    </row>
    <row r="16" spans="1:10" x14ac:dyDescent="0.3">
      <c r="A16" t="s">
        <v>50</v>
      </c>
      <c r="B16" t="s">
        <v>122</v>
      </c>
      <c r="C16" t="s">
        <v>128</v>
      </c>
      <c r="D16" t="s">
        <v>131</v>
      </c>
      <c r="E16" s="2">
        <v>45370.616161616163</v>
      </c>
      <c r="F16" s="6">
        <v>3029.34</v>
      </c>
      <c r="G16">
        <v>5</v>
      </c>
      <c r="H16" s="6">
        <v>27511.26</v>
      </c>
    </row>
    <row r="17" spans="1:8" x14ac:dyDescent="0.3">
      <c r="A17" t="s">
        <v>62</v>
      </c>
      <c r="B17" t="s">
        <v>122</v>
      </c>
      <c r="C17" t="s">
        <v>127</v>
      </c>
      <c r="D17" t="s">
        <v>133</v>
      </c>
      <c r="E17" s="2">
        <v>45392.555555555547</v>
      </c>
      <c r="F17" s="6">
        <v>3084.42</v>
      </c>
      <c r="G17">
        <v>10</v>
      </c>
      <c r="H17" s="6">
        <v>27511.26</v>
      </c>
    </row>
    <row r="18" spans="1:8" x14ac:dyDescent="0.3">
      <c r="A18" t="s">
        <v>66</v>
      </c>
      <c r="B18" t="s">
        <v>122</v>
      </c>
      <c r="C18" t="s">
        <v>128</v>
      </c>
      <c r="D18" t="s">
        <v>133</v>
      </c>
      <c r="E18" s="2">
        <v>45399.868686868678</v>
      </c>
      <c r="F18" s="6">
        <v>4148.37</v>
      </c>
      <c r="G18">
        <v>4</v>
      </c>
      <c r="H18" s="6">
        <v>27511.26</v>
      </c>
    </row>
    <row r="19" spans="1:8" x14ac:dyDescent="0.3">
      <c r="A19" t="s">
        <v>87</v>
      </c>
      <c r="B19" t="s">
        <v>122</v>
      </c>
      <c r="C19" t="s">
        <v>127</v>
      </c>
      <c r="D19" t="s">
        <v>133</v>
      </c>
      <c r="E19" s="2">
        <v>45438.262626262607</v>
      </c>
      <c r="F19" s="6">
        <v>3493.06</v>
      </c>
      <c r="G19">
        <v>1</v>
      </c>
      <c r="H19" s="6">
        <v>27511.26</v>
      </c>
    </row>
    <row r="20" spans="1:8" x14ac:dyDescent="0.3">
      <c r="A20" t="s">
        <v>95</v>
      </c>
      <c r="B20" t="s">
        <v>122</v>
      </c>
      <c r="C20" t="s">
        <v>127</v>
      </c>
      <c r="D20" t="s">
        <v>134</v>
      </c>
      <c r="E20" s="2">
        <v>45452.888888888891</v>
      </c>
      <c r="F20" s="6">
        <v>4406.38</v>
      </c>
      <c r="G20">
        <v>9</v>
      </c>
      <c r="H20" s="6">
        <v>27511.26</v>
      </c>
    </row>
    <row r="21" spans="1:8" x14ac:dyDescent="0.3">
      <c r="A21" t="s">
        <v>100</v>
      </c>
      <c r="B21" t="s">
        <v>122</v>
      </c>
      <c r="C21" t="s">
        <v>128</v>
      </c>
      <c r="D21" t="s">
        <v>133</v>
      </c>
      <c r="E21" s="2">
        <v>45462.030303030297</v>
      </c>
      <c r="F21" s="6">
        <v>3272.82</v>
      </c>
      <c r="G21">
        <v>5</v>
      </c>
      <c r="H21" s="6">
        <v>27511.26</v>
      </c>
    </row>
    <row r="22" spans="1:8" x14ac:dyDescent="0.3">
      <c r="A22" t="s">
        <v>103</v>
      </c>
      <c r="B22" t="s">
        <v>122</v>
      </c>
      <c r="C22" t="s">
        <v>127</v>
      </c>
      <c r="D22" t="s">
        <v>134</v>
      </c>
      <c r="E22" s="2">
        <v>45467.515151515152</v>
      </c>
      <c r="F22" s="6">
        <v>3957.65</v>
      </c>
      <c r="G22">
        <v>4</v>
      </c>
      <c r="H22" s="6">
        <v>27511.26</v>
      </c>
    </row>
    <row r="23" spans="1:8" x14ac:dyDescent="0.3">
      <c r="A23" t="s">
        <v>7</v>
      </c>
      <c r="B23" t="s">
        <v>107</v>
      </c>
      <c r="C23" t="s">
        <v>127</v>
      </c>
      <c r="D23" t="s">
        <v>131</v>
      </c>
      <c r="E23" s="2">
        <v>45292</v>
      </c>
      <c r="F23" s="6">
        <v>2683.43</v>
      </c>
      <c r="G23">
        <v>9</v>
      </c>
      <c r="H23" s="6">
        <v>12694.11</v>
      </c>
    </row>
    <row r="24" spans="1:8" x14ac:dyDescent="0.3">
      <c r="A24" t="s">
        <v>83</v>
      </c>
      <c r="B24" t="s">
        <v>107</v>
      </c>
      <c r="C24" t="s">
        <v>130</v>
      </c>
      <c r="D24" t="s">
        <v>134</v>
      </c>
      <c r="E24" s="2">
        <v>45430.949494949491</v>
      </c>
      <c r="F24" s="6">
        <v>3857.65</v>
      </c>
      <c r="G24">
        <v>2</v>
      </c>
      <c r="H24" s="6">
        <v>12694.11</v>
      </c>
    </row>
    <row r="25" spans="1:8" x14ac:dyDescent="0.3">
      <c r="A25" t="s">
        <v>98</v>
      </c>
      <c r="B25" t="s">
        <v>107</v>
      </c>
      <c r="C25" t="s">
        <v>128</v>
      </c>
      <c r="D25" t="s">
        <v>135</v>
      </c>
      <c r="E25" s="2">
        <v>45458.373737373717</v>
      </c>
      <c r="F25" s="6">
        <v>3123.62</v>
      </c>
      <c r="G25">
        <v>8</v>
      </c>
      <c r="H25" s="6">
        <v>12694.11</v>
      </c>
    </row>
    <row r="26" spans="1:8" x14ac:dyDescent="0.3">
      <c r="A26" t="s">
        <v>105</v>
      </c>
      <c r="B26" t="s">
        <v>107</v>
      </c>
      <c r="C26" t="s">
        <v>130</v>
      </c>
      <c r="D26" t="s">
        <v>135</v>
      </c>
      <c r="E26" s="2">
        <v>45471.17171717171</v>
      </c>
      <c r="F26" s="6">
        <v>3029.41</v>
      </c>
      <c r="G26">
        <v>5</v>
      </c>
      <c r="H26" s="6">
        <v>12694.11</v>
      </c>
    </row>
    <row r="27" spans="1:8" x14ac:dyDescent="0.3">
      <c r="A27" t="s">
        <v>32</v>
      </c>
      <c r="B27" t="s">
        <v>124</v>
      </c>
      <c r="C27" t="s">
        <v>130</v>
      </c>
      <c r="D27" t="s">
        <v>135</v>
      </c>
      <c r="E27" s="2">
        <v>45337.70707070706</v>
      </c>
      <c r="F27" s="6">
        <v>1814.1</v>
      </c>
      <c r="G27">
        <v>7</v>
      </c>
      <c r="H27" s="6">
        <v>10804.58</v>
      </c>
    </row>
    <row r="28" spans="1:8" x14ac:dyDescent="0.3">
      <c r="A28" t="s">
        <v>67</v>
      </c>
      <c r="B28" t="s">
        <v>124</v>
      </c>
      <c r="C28" t="s">
        <v>127</v>
      </c>
      <c r="D28" t="s">
        <v>133</v>
      </c>
      <c r="E28" s="2">
        <v>45401.696969696968</v>
      </c>
      <c r="F28" s="6">
        <v>3558.34</v>
      </c>
      <c r="G28">
        <v>8</v>
      </c>
      <c r="H28" s="6">
        <v>10804.58</v>
      </c>
    </row>
    <row r="29" spans="1:8" x14ac:dyDescent="0.3">
      <c r="A29" t="s">
        <v>99</v>
      </c>
      <c r="B29" t="s">
        <v>124</v>
      </c>
      <c r="C29" t="s">
        <v>130</v>
      </c>
      <c r="D29" t="s">
        <v>135</v>
      </c>
      <c r="E29" s="2">
        <v>45460.202020202007</v>
      </c>
      <c r="F29" s="6">
        <v>1362.45</v>
      </c>
      <c r="G29">
        <v>7</v>
      </c>
      <c r="H29" s="6">
        <v>10804.58</v>
      </c>
    </row>
    <row r="30" spans="1:8" x14ac:dyDescent="0.3">
      <c r="A30" t="s">
        <v>102</v>
      </c>
      <c r="B30" t="s">
        <v>124</v>
      </c>
      <c r="C30" t="s">
        <v>128</v>
      </c>
      <c r="D30" t="s">
        <v>133</v>
      </c>
      <c r="E30" s="2">
        <v>45465.686868686862</v>
      </c>
      <c r="F30" s="6">
        <v>4069.69</v>
      </c>
      <c r="G30">
        <v>4</v>
      </c>
      <c r="H30" s="6">
        <v>10804.58</v>
      </c>
    </row>
    <row r="31" spans="1:8" x14ac:dyDescent="0.3">
      <c r="A31" t="s">
        <v>8</v>
      </c>
      <c r="B31" t="s">
        <v>108</v>
      </c>
      <c r="C31" t="s">
        <v>128</v>
      </c>
      <c r="D31" t="s">
        <v>132</v>
      </c>
      <c r="E31" s="2">
        <v>45293.828282828283</v>
      </c>
      <c r="F31" s="6">
        <v>796.01</v>
      </c>
      <c r="G31">
        <v>7</v>
      </c>
      <c r="H31" s="6">
        <v>9492.02</v>
      </c>
    </row>
    <row r="32" spans="1:8" x14ac:dyDescent="0.3">
      <c r="A32" t="s">
        <v>79</v>
      </c>
      <c r="B32" t="s">
        <v>108</v>
      </c>
      <c r="C32" t="s">
        <v>127</v>
      </c>
      <c r="D32" t="s">
        <v>135</v>
      </c>
      <c r="E32" s="2">
        <v>45423.636363636353</v>
      </c>
      <c r="F32" s="6">
        <v>4741.67</v>
      </c>
      <c r="G32">
        <v>2</v>
      </c>
      <c r="H32" s="6">
        <v>9492.02</v>
      </c>
    </row>
    <row r="33" spans="1:8" x14ac:dyDescent="0.3">
      <c r="A33" t="s">
        <v>91</v>
      </c>
      <c r="B33" t="s">
        <v>108</v>
      </c>
      <c r="C33" t="s">
        <v>127</v>
      </c>
      <c r="D33" t="s">
        <v>131</v>
      </c>
      <c r="E33" s="2">
        <v>45445.575757575753</v>
      </c>
      <c r="F33" s="6">
        <v>1204.02</v>
      </c>
      <c r="G33">
        <v>6</v>
      </c>
      <c r="H33" s="6">
        <v>9492.02</v>
      </c>
    </row>
    <row r="34" spans="1:8" x14ac:dyDescent="0.3">
      <c r="A34" t="s">
        <v>92</v>
      </c>
      <c r="B34" t="s">
        <v>108</v>
      </c>
      <c r="C34" t="s">
        <v>128</v>
      </c>
      <c r="D34" t="s">
        <v>134</v>
      </c>
      <c r="E34" s="2">
        <v>45447.404040404042</v>
      </c>
      <c r="F34" s="6">
        <v>2750.32</v>
      </c>
      <c r="G34">
        <v>4</v>
      </c>
      <c r="H34" s="6">
        <v>9492.02</v>
      </c>
    </row>
    <row r="35" spans="1:8" x14ac:dyDescent="0.3">
      <c r="A35" t="s">
        <v>27</v>
      </c>
      <c r="B35" t="s">
        <v>121</v>
      </c>
      <c r="C35" t="s">
        <v>130</v>
      </c>
      <c r="D35" t="s">
        <v>134</v>
      </c>
      <c r="E35" s="2">
        <v>45328.565656565654</v>
      </c>
      <c r="F35" s="6">
        <v>238.79</v>
      </c>
      <c r="G35">
        <v>9</v>
      </c>
      <c r="H35" s="6">
        <v>19149.269999999997</v>
      </c>
    </row>
    <row r="36" spans="1:8" x14ac:dyDescent="0.3">
      <c r="A36" t="s">
        <v>43</v>
      </c>
      <c r="B36" t="s">
        <v>121</v>
      </c>
      <c r="C36" t="s">
        <v>129</v>
      </c>
      <c r="D36" t="s">
        <v>134</v>
      </c>
      <c r="E36" s="2">
        <v>45357.818181818169</v>
      </c>
      <c r="F36" s="6">
        <v>3096.69</v>
      </c>
      <c r="G36">
        <v>9</v>
      </c>
      <c r="H36" s="6">
        <v>19149.269999999997</v>
      </c>
    </row>
    <row r="37" spans="1:8" x14ac:dyDescent="0.3">
      <c r="A37" t="s">
        <v>47</v>
      </c>
      <c r="B37" t="s">
        <v>121</v>
      </c>
      <c r="C37" t="s">
        <v>129</v>
      </c>
      <c r="D37" t="s">
        <v>131</v>
      </c>
      <c r="E37" s="2">
        <v>45365.131313131307</v>
      </c>
      <c r="F37" s="6">
        <v>2055.85</v>
      </c>
      <c r="G37">
        <v>7</v>
      </c>
      <c r="H37" s="6">
        <v>19149.269999999997</v>
      </c>
    </row>
    <row r="38" spans="1:8" x14ac:dyDescent="0.3">
      <c r="A38" t="s">
        <v>60</v>
      </c>
      <c r="B38" t="s">
        <v>121</v>
      </c>
      <c r="C38" t="s">
        <v>128</v>
      </c>
      <c r="D38" t="s">
        <v>133</v>
      </c>
      <c r="E38" s="2">
        <v>45388.898989898982</v>
      </c>
      <c r="F38" s="6">
        <v>4437.5200000000004</v>
      </c>
      <c r="G38">
        <v>6</v>
      </c>
      <c r="H38" s="6">
        <v>19149.269999999997</v>
      </c>
    </row>
    <row r="39" spans="1:8" x14ac:dyDescent="0.3">
      <c r="A39" t="s">
        <v>82</v>
      </c>
      <c r="B39" t="s">
        <v>121</v>
      </c>
      <c r="C39" t="s">
        <v>127</v>
      </c>
      <c r="D39" t="s">
        <v>131</v>
      </c>
      <c r="E39" s="2">
        <v>45429.121212121201</v>
      </c>
      <c r="F39" s="6">
        <v>3333.25</v>
      </c>
      <c r="G39">
        <v>3</v>
      </c>
      <c r="H39" s="6">
        <v>19149.269999999997</v>
      </c>
    </row>
    <row r="40" spans="1:8" x14ac:dyDescent="0.3">
      <c r="A40" t="s">
        <v>85</v>
      </c>
      <c r="B40" t="s">
        <v>121</v>
      </c>
      <c r="C40" t="s">
        <v>129</v>
      </c>
      <c r="D40" t="s">
        <v>133</v>
      </c>
      <c r="E40" s="2">
        <v>45434.606060606056</v>
      </c>
      <c r="F40" s="6">
        <v>3259.5</v>
      </c>
      <c r="G40">
        <v>5</v>
      </c>
      <c r="H40" s="6">
        <v>19149.269999999997</v>
      </c>
    </row>
    <row r="41" spans="1:8" x14ac:dyDescent="0.3">
      <c r="A41" t="s">
        <v>106</v>
      </c>
      <c r="B41" t="s">
        <v>121</v>
      </c>
      <c r="C41" t="s">
        <v>129</v>
      </c>
      <c r="D41" t="s">
        <v>134</v>
      </c>
      <c r="E41" s="2">
        <v>45473</v>
      </c>
      <c r="F41" s="6">
        <v>2727.67</v>
      </c>
      <c r="G41">
        <v>9</v>
      </c>
      <c r="H41" s="6">
        <v>19149.269999999997</v>
      </c>
    </row>
    <row r="42" spans="1:8" x14ac:dyDescent="0.3">
      <c r="A42" t="s">
        <v>9</v>
      </c>
      <c r="B42" t="s">
        <v>109</v>
      </c>
      <c r="C42" t="s">
        <v>127</v>
      </c>
      <c r="D42" t="s">
        <v>133</v>
      </c>
      <c r="E42" s="2">
        <v>45295.656565656573</v>
      </c>
      <c r="F42" s="6">
        <v>3257.09</v>
      </c>
      <c r="G42">
        <v>9</v>
      </c>
      <c r="H42" s="6">
        <v>13243.21</v>
      </c>
    </row>
    <row r="43" spans="1:8" x14ac:dyDescent="0.3">
      <c r="A43" t="s">
        <v>22</v>
      </c>
      <c r="B43" t="s">
        <v>109</v>
      </c>
      <c r="C43" t="s">
        <v>129</v>
      </c>
      <c r="D43" t="s">
        <v>134</v>
      </c>
      <c r="E43" s="2">
        <v>45319.424242424233</v>
      </c>
      <c r="F43" s="6">
        <v>2648.37</v>
      </c>
      <c r="G43">
        <v>2</v>
      </c>
      <c r="H43" s="6">
        <v>13243.21</v>
      </c>
    </row>
    <row r="44" spans="1:8" x14ac:dyDescent="0.3">
      <c r="A44" t="s">
        <v>31</v>
      </c>
      <c r="B44" t="s">
        <v>109</v>
      </c>
      <c r="C44" t="s">
        <v>129</v>
      </c>
      <c r="D44" t="s">
        <v>134</v>
      </c>
      <c r="E44" s="2">
        <v>45335.878787878777</v>
      </c>
      <c r="F44" s="6">
        <v>2409.31</v>
      </c>
      <c r="G44">
        <v>10</v>
      </c>
      <c r="H44" s="6">
        <v>13243.21</v>
      </c>
    </row>
    <row r="45" spans="1:8" x14ac:dyDescent="0.3">
      <c r="A45" t="s">
        <v>51</v>
      </c>
      <c r="B45" t="s">
        <v>109</v>
      </c>
      <c r="C45" t="s">
        <v>130</v>
      </c>
      <c r="D45" t="s">
        <v>134</v>
      </c>
      <c r="E45" s="2">
        <v>45372.444444444453</v>
      </c>
      <c r="F45" s="6">
        <v>4928.4399999999996</v>
      </c>
      <c r="G45">
        <v>3</v>
      </c>
      <c r="H45" s="6">
        <v>13243.21</v>
      </c>
    </row>
    <row r="46" spans="1:8" x14ac:dyDescent="0.3">
      <c r="A46" t="s">
        <v>12</v>
      </c>
      <c r="B46" t="s">
        <v>112</v>
      </c>
      <c r="C46" t="s">
        <v>128</v>
      </c>
      <c r="D46" t="s">
        <v>134</v>
      </c>
      <c r="E46" s="2">
        <v>45301.141414141413</v>
      </c>
      <c r="F46" s="6">
        <v>3769.77</v>
      </c>
      <c r="G46">
        <v>1</v>
      </c>
      <c r="H46" s="6">
        <v>12760.91</v>
      </c>
    </row>
    <row r="47" spans="1:8" x14ac:dyDescent="0.3">
      <c r="A47" t="s">
        <v>36</v>
      </c>
      <c r="B47" t="s">
        <v>112</v>
      </c>
      <c r="C47" t="s">
        <v>129</v>
      </c>
      <c r="D47" t="s">
        <v>134</v>
      </c>
      <c r="E47" s="2">
        <v>45345.020202020198</v>
      </c>
      <c r="F47" s="6">
        <v>3371.76</v>
      </c>
      <c r="G47">
        <v>7</v>
      </c>
      <c r="H47" s="6">
        <v>12760.91</v>
      </c>
    </row>
    <row r="48" spans="1:8" x14ac:dyDescent="0.3">
      <c r="A48" t="s">
        <v>71</v>
      </c>
      <c r="B48" t="s">
        <v>112</v>
      </c>
      <c r="C48" t="s">
        <v>127</v>
      </c>
      <c r="D48" t="s">
        <v>135</v>
      </c>
      <c r="E48" s="2">
        <v>45409.010101010092</v>
      </c>
      <c r="F48" s="6">
        <v>3450.57</v>
      </c>
      <c r="G48">
        <v>7</v>
      </c>
      <c r="H48" s="6">
        <v>12760.91</v>
      </c>
    </row>
    <row r="49" spans="1:8" x14ac:dyDescent="0.3">
      <c r="A49" t="s">
        <v>77</v>
      </c>
      <c r="B49" t="s">
        <v>112</v>
      </c>
      <c r="C49" t="s">
        <v>130</v>
      </c>
      <c r="D49" t="s">
        <v>131</v>
      </c>
      <c r="E49" s="2">
        <v>45419.979797979788</v>
      </c>
      <c r="F49" s="6">
        <v>2168.81</v>
      </c>
      <c r="G49">
        <v>8</v>
      </c>
      <c r="H49" s="6">
        <v>12760.91</v>
      </c>
    </row>
    <row r="50" spans="1:8" x14ac:dyDescent="0.3">
      <c r="A50" t="s">
        <v>13</v>
      </c>
      <c r="B50" t="s">
        <v>113</v>
      </c>
      <c r="C50" t="s">
        <v>127</v>
      </c>
      <c r="D50" t="s">
        <v>132</v>
      </c>
      <c r="E50" s="2">
        <v>45302.969696969689</v>
      </c>
      <c r="F50" s="6">
        <v>4712.12</v>
      </c>
      <c r="G50">
        <v>1</v>
      </c>
      <c r="H50" s="6">
        <v>11261.58</v>
      </c>
    </row>
    <row r="51" spans="1:8" x14ac:dyDescent="0.3">
      <c r="A51" t="s">
        <v>19</v>
      </c>
      <c r="B51" t="s">
        <v>113</v>
      </c>
      <c r="C51" t="s">
        <v>129</v>
      </c>
      <c r="D51" t="s">
        <v>135</v>
      </c>
      <c r="E51" s="2">
        <v>45313.939393939378</v>
      </c>
      <c r="F51" s="6">
        <v>2365.04</v>
      </c>
      <c r="G51">
        <v>6</v>
      </c>
      <c r="H51" s="6">
        <v>11261.58</v>
      </c>
    </row>
    <row r="52" spans="1:8" x14ac:dyDescent="0.3">
      <c r="A52" t="s">
        <v>41</v>
      </c>
      <c r="B52" t="s">
        <v>113</v>
      </c>
      <c r="C52" t="s">
        <v>129</v>
      </c>
      <c r="D52" t="s">
        <v>131</v>
      </c>
      <c r="E52" s="2">
        <v>45354.161616161611</v>
      </c>
      <c r="F52" s="6">
        <v>4184.42</v>
      </c>
      <c r="G52">
        <v>1</v>
      </c>
      <c r="H52" s="6">
        <v>11261.58</v>
      </c>
    </row>
    <row r="53" spans="1:8" x14ac:dyDescent="0.3">
      <c r="A53" t="s">
        <v>29</v>
      </c>
      <c r="B53" t="s">
        <v>123</v>
      </c>
      <c r="C53" t="s">
        <v>128</v>
      </c>
      <c r="D53" t="s">
        <v>132</v>
      </c>
      <c r="E53" s="2">
        <v>45332.222222222219</v>
      </c>
      <c r="F53" s="6">
        <v>431.18</v>
      </c>
      <c r="G53">
        <v>8</v>
      </c>
      <c r="H53" s="6">
        <v>9849.06</v>
      </c>
    </row>
    <row r="54" spans="1:8" x14ac:dyDescent="0.3">
      <c r="A54" t="s">
        <v>40</v>
      </c>
      <c r="B54" t="s">
        <v>123</v>
      </c>
      <c r="C54" t="s">
        <v>130</v>
      </c>
      <c r="D54" t="s">
        <v>135</v>
      </c>
      <c r="E54" s="2">
        <v>45352.333333333343</v>
      </c>
      <c r="F54" s="6">
        <v>1887.26</v>
      </c>
      <c r="G54">
        <v>8</v>
      </c>
      <c r="H54" s="6">
        <v>9849.06</v>
      </c>
    </row>
    <row r="55" spans="1:8" x14ac:dyDescent="0.3">
      <c r="A55" t="s">
        <v>75</v>
      </c>
      <c r="B55" t="s">
        <v>123</v>
      </c>
      <c r="C55" t="s">
        <v>128</v>
      </c>
      <c r="D55" t="s">
        <v>132</v>
      </c>
      <c r="E55" s="2">
        <v>45416.32323232323</v>
      </c>
      <c r="F55" s="6">
        <v>3557.88</v>
      </c>
      <c r="G55">
        <v>7</v>
      </c>
      <c r="H55" s="6">
        <v>9849.06</v>
      </c>
    </row>
    <row r="56" spans="1:8" x14ac:dyDescent="0.3">
      <c r="A56" t="s">
        <v>86</v>
      </c>
      <c r="B56" t="s">
        <v>123</v>
      </c>
      <c r="C56" t="s">
        <v>129</v>
      </c>
      <c r="D56" t="s">
        <v>135</v>
      </c>
      <c r="E56" s="2">
        <v>45436.434343434339</v>
      </c>
      <c r="F56" s="6">
        <v>3251.86</v>
      </c>
      <c r="G56">
        <v>10</v>
      </c>
      <c r="H56" s="6">
        <v>9849.06</v>
      </c>
    </row>
    <row r="57" spans="1:8" x14ac:dyDescent="0.3">
      <c r="A57" t="s">
        <v>93</v>
      </c>
      <c r="B57" t="s">
        <v>123</v>
      </c>
      <c r="C57" t="s">
        <v>129</v>
      </c>
      <c r="D57" t="s">
        <v>134</v>
      </c>
      <c r="E57" s="2">
        <v>45449.232323232318</v>
      </c>
      <c r="F57" s="6">
        <v>720.88</v>
      </c>
      <c r="G57">
        <v>7</v>
      </c>
      <c r="H57" s="6">
        <v>9849.06</v>
      </c>
    </row>
    <row r="58" spans="1:8" x14ac:dyDescent="0.3">
      <c r="A58" t="s">
        <v>18</v>
      </c>
      <c r="B58" t="s">
        <v>117</v>
      </c>
      <c r="C58" t="s">
        <v>127</v>
      </c>
      <c r="D58" t="s">
        <v>131</v>
      </c>
      <c r="E58" s="2">
        <v>45312.111111111109</v>
      </c>
      <c r="F58" s="6">
        <v>3023.39</v>
      </c>
      <c r="G58">
        <v>3</v>
      </c>
      <c r="H58" s="6">
        <v>14688.42</v>
      </c>
    </row>
    <row r="59" spans="1:8" x14ac:dyDescent="0.3">
      <c r="A59" t="s">
        <v>45</v>
      </c>
      <c r="B59" t="s">
        <v>117</v>
      </c>
      <c r="C59" t="s">
        <v>128</v>
      </c>
      <c r="D59" t="s">
        <v>133</v>
      </c>
      <c r="E59" s="2">
        <v>45361.474747474742</v>
      </c>
      <c r="F59" s="6">
        <v>3018.43</v>
      </c>
      <c r="G59">
        <v>9</v>
      </c>
      <c r="H59" s="6">
        <v>14688.42</v>
      </c>
    </row>
    <row r="60" spans="1:8" x14ac:dyDescent="0.3">
      <c r="A60" t="s">
        <v>54</v>
      </c>
      <c r="B60" t="s">
        <v>117</v>
      </c>
      <c r="C60" t="s">
        <v>127</v>
      </c>
      <c r="D60" t="s">
        <v>134</v>
      </c>
      <c r="E60" s="2">
        <v>45377.929292929293</v>
      </c>
      <c r="F60" s="6">
        <v>4894.83</v>
      </c>
      <c r="G60">
        <v>5</v>
      </c>
      <c r="H60" s="6">
        <v>14688.42</v>
      </c>
    </row>
    <row r="61" spans="1:8" x14ac:dyDescent="0.3">
      <c r="A61" t="s">
        <v>55</v>
      </c>
      <c r="B61" t="s">
        <v>117</v>
      </c>
      <c r="C61" t="s">
        <v>129</v>
      </c>
      <c r="D61" t="s">
        <v>131</v>
      </c>
      <c r="E61" s="2">
        <v>45379.757575757569</v>
      </c>
      <c r="F61" s="6">
        <v>1145.97</v>
      </c>
      <c r="G61">
        <v>5</v>
      </c>
      <c r="H61" s="6">
        <v>14688.42</v>
      </c>
    </row>
    <row r="62" spans="1:8" x14ac:dyDescent="0.3">
      <c r="A62" t="s">
        <v>57</v>
      </c>
      <c r="B62" t="s">
        <v>117</v>
      </c>
      <c r="C62" t="s">
        <v>127</v>
      </c>
      <c r="D62" t="s">
        <v>132</v>
      </c>
      <c r="E62" s="2">
        <v>45383.414141414127</v>
      </c>
      <c r="F62" s="6">
        <v>2112.1</v>
      </c>
      <c r="G62">
        <v>3</v>
      </c>
      <c r="H62" s="6">
        <v>14688.42</v>
      </c>
    </row>
    <row r="63" spans="1:8" x14ac:dyDescent="0.3">
      <c r="A63" t="s">
        <v>70</v>
      </c>
      <c r="B63" t="s">
        <v>117</v>
      </c>
      <c r="C63" t="s">
        <v>128</v>
      </c>
      <c r="D63" t="s">
        <v>135</v>
      </c>
      <c r="E63" s="2">
        <v>45407.181818181823</v>
      </c>
      <c r="F63" s="6">
        <v>493.7</v>
      </c>
      <c r="G63">
        <v>1</v>
      </c>
      <c r="H63" s="6">
        <v>14688.42</v>
      </c>
    </row>
    <row r="64" spans="1:8" x14ac:dyDescent="0.3">
      <c r="A64" t="s">
        <v>24</v>
      </c>
      <c r="B64" t="s">
        <v>119</v>
      </c>
      <c r="C64" t="s">
        <v>127</v>
      </c>
      <c r="D64" t="s">
        <v>134</v>
      </c>
      <c r="E64" s="2">
        <v>45323.080808080798</v>
      </c>
      <c r="F64" s="6">
        <v>3053.33</v>
      </c>
      <c r="G64">
        <v>3</v>
      </c>
      <c r="H64" s="6">
        <v>9372.82</v>
      </c>
    </row>
    <row r="65" spans="1:8" x14ac:dyDescent="0.3">
      <c r="A65" t="s">
        <v>37</v>
      </c>
      <c r="B65" t="s">
        <v>119</v>
      </c>
      <c r="C65" t="s">
        <v>130</v>
      </c>
      <c r="D65" t="s">
        <v>133</v>
      </c>
      <c r="E65" s="2">
        <v>45346.84848484848</v>
      </c>
      <c r="F65" s="6">
        <v>1329.06</v>
      </c>
      <c r="G65">
        <v>3</v>
      </c>
      <c r="H65" s="6">
        <v>9372.82</v>
      </c>
    </row>
    <row r="66" spans="1:8" x14ac:dyDescent="0.3">
      <c r="A66" t="s">
        <v>58</v>
      </c>
      <c r="B66" t="s">
        <v>119</v>
      </c>
      <c r="C66" t="s">
        <v>128</v>
      </c>
      <c r="D66" t="s">
        <v>132</v>
      </c>
      <c r="E66" s="2">
        <v>45385.242424242417</v>
      </c>
      <c r="F66" s="6">
        <v>663.52</v>
      </c>
      <c r="G66">
        <v>4</v>
      </c>
      <c r="H66" s="6">
        <v>9372.82</v>
      </c>
    </row>
    <row r="67" spans="1:8" x14ac:dyDescent="0.3">
      <c r="A67" t="s">
        <v>68</v>
      </c>
      <c r="B67" t="s">
        <v>119</v>
      </c>
      <c r="C67" t="s">
        <v>127</v>
      </c>
      <c r="D67" t="s">
        <v>131</v>
      </c>
      <c r="E67" s="2">
        <v>45403.525252525244</v>
      </c>
      <c r="F67" s="6">
        <v>1602.9</v>
      </c>
      <c r="G67">
        <v>9</v>
      </c>
      <c r="H67" s="6">
        <v>9372.82</v>
      </c>
    </row>
    <row r="68" spans="1:8" x14ac:dyDescent="0.3">
      <c r="A68" t="s">
        <v>84</v>
      </c>
      <c r="B68" t="s">
        <v>119</v>
      </c>
      <c r="C68" t="s">
        <v>129</v>
      </c>
      <c r="D68" t="s">
        <v>131</v>
      </c>
      <c r="E68" s="2">
        <v>45432.777777777781</v>
      </c>
      <c r="F68" s="6">
        <v>2724.01</v>
      </c>
      <c r="G68">
        <v>9</v>
      </c>
      <c r="H68" s="6">
        <v>9372.82</v>
      </c>
    </row>
    <row r="69" spans="1:8" x14ac:dyDescent="0.3">
      <c r="A69" t="s">
        <v>17</v>
      </c>
      <c r="B69" t="s">
        <v>116</v>
      </c>
      <c r="C69" t="s">
        <v>128</v>
      </c>
      <c r="D69" t="s">
        <v>134</v>
      </c>
      <c r="E69" s="2">
        <v>45310.282828282827</v>
      </c>
      <c r="F69" s="6">
        <v>4879.17</v>
      </c>
      <c r="G69">
        <v>2</v>
      </c>
      <c r="H69" s="6">
        <v>25197.32</v>
      </c>
    </row>
    <row r="70" spans="1:8" x14ac:dyDescent="0.3">
      <c r="A70" t="s">
        <v>23</v>
      </c>
      <c r="B70" t="s">
        <v>116</v>
      </c>
      <c r="C70" t="s">
        <v>129</v>
      </c>
      <c r="D70" t="s">
        <v>131</v>
      </c>
      <c r="E70" s="2">
        <v>45321.252525252523</v>
      </c>
      <c r="F70" s="6">
        <v>640.12</v>
      </c>
      <c r="G70">
        <v>9</v>
      </c>
      <c r="H70" s="6">
        <v>25197.32</v>
      </c>
    </row>
    <row r="71" spans="1:8" x14ac:dyDescent="0.3">
      <c r="A71" t="s">
        <v>30</v>
      </c>
      <c r="B71" t="s">
        <v>116</v>
      </c>
      <c r="C71" t="s">
        <v>127</v>
      </c>
      <c r="D71" t="s">
        <v>134</v>
      </c>
      <c r="E71" s="2">
        <v>45334.050505050487</v>
      </c>
      <c r="F71" s="6">
        <v>4837.37</v>
      </c>
      <c r="G71">
        <v>6</v>
      </c>
      <c r="H71" s="6">
        <v>25197.32</v>
      </c>
    </row>
    <row r="72" spans="1:8" x14ac:dyDescent="0.3">
      <c r="A72" t="s">
        <v>39</v>
      </c>
      <c r="B72" t="s">
        <v>116</v>
      </c>
      <c r="C72" t="s">
        <v>127</v>
      </c>
      <c r="D72" t="s">
        <v>132</v>
      </c>
      <c r="E72" s="2">
        <v>45350.505050505053</v>
      </c>
      <c r="F72" s="6">
        <v>2498.5300000000002</v>
      </c>
      <c r="G72">
        <v>4</v>
      </c>
      <c r="H72" s="6">
        <v>25197.32</v>
      </c>
    </row>
    <row r="73" spans="1:8" x14ac:dyDescent="0.3">
      <c r="A73" t="s">
        <v>59</v>
      </c>
      <c r="B73" t="s">
        <v>116</v>
      </c>
      <c r="C73" t="s">
        <v>127</v>
      </c>
      <c r="D73" t="s">
        <v>132</v>
      </c>
      <c r="E73" s="2">
        <v>45387.070707070707</v>
      </c>
      <c r="F73" s="6">
        <v>4581.88</v>
      </c>
      <c r="G73">
        <v>8</v>
      </c>
      <c r="H73" s="6">
        <v>25197.32</v>
      </c>
    </row>
    <row r="74" spans="1:8" x14ac:dyDescent="0.3">
      <c r="A74" t="s">
        <v>65</v>
      </c>
      <c r="B74" t="s">
        <v>116</v>
      </c>
      <c r="C74" t="s">
        <v>128</v>
      </c>
      <c r="D74" t="s">
        <v>133</v>
      </c>
      <c r="E74" s="2">
        <v>45398.040404040403</v>
      </c>
      <c r="F74" s="6">
        <v>1326.3</v>
      </c>
      <c r="G74">
        <v>4</v>
      </c>
      <c r="H74" s="6">
        <v>25197.32</v>
      </c>
    </row>
    <row r="75" spans="1:8" x14ac:dyDescent="0.3">
      <c r="A75" t="s">
        <v>69</v>
      </c>
      <c r="B75" t="s">
        <v>116</v>
      </c>
      <c r="C75" t="s">
        <v>127</v>
      </c>
      <c r="D75" t="s">
        <v>132</v>
      </c>
      <c r="E75" s="2">
        <v>45405.353535353534</v>
      </c>
      <c r="F75" s="6">
        <v>3756</v>
      </c>
      <c r="G75">
        <v>9</v>
      </c>
      <c r="H75" s="6">
        <v>25197.32</v>
      </c>
    </row>
    <row r="76" spans="1:8" x14ac:dyDescent="0.3">
      <c r="A76" t="s">
        <v>88</v>
      </c>
      <c r="B76" t="s">
        <v>116</v>
      </c>
      <c r="C76" t="s">
        <v>130</v>
      </c>
      <c r="D76" t="s">
        <v>131</v>
      </c>
      <c r="E76" s="2">
        <v>45440.090909090897</v>
      </c>
      <c r="F76" s="6">
        <v>2677.95</v>
      </c>
      <c r="G76">
        <v>4</v>
      </c>
      <c r="H76" s="6">
        <v>25197.32</v>
      </c>
    </row>
    <row r="77" spans="1:8" x14ac:dyDescent="0.3">
      <c r="A77" t="s">
        <v>21</v>
      </c>
      <c r="B77" t="s">
        <v>118</v>
      </c>
      <c r="C77" t="s">
        <v>128</v>
      </c>
      <c r="D77" t="s">
        <v>133</v>
      </c>
      <c r="E77" s="2">
        <v>45317.59595959595</v>
      </c>
      <c r="F77" s="6">
        <v>2726.31</v>
      </c>
      <c r="G77">
        <v>10</v>
      </c>
      <c r="H77" s="6">
        <v>8643.61</v>
      </c>
    </row>
    <row r="78" spans="1:8" x14ac:dyDescent="0.3">
      <c r="A78" t="s">
        <v>42</v>
      </c>
      <c r="B78" t="s">
        <v>118</v>
      </c>
      <c r="C78" t="s">
        <v>128</v>
      </c>
      <c r="D78" t="s">
        <v>135</v>
      </c>
      <c r="E78" s="2">
        <v>45355.989898989887</v>
      </c>
      <c r="F78" s="6">
        <v>2269.04</v>
      </c>
      <c r="G78">
        <v>1</v>
      </c>
      <c r="H78" s="6">
        <v>8643.61</v>
      </c>
    </row>
    <row r="79" spans="1:8" x14ac:dyDescent="0.3">
      <c r="A79" t="s">
        <v>74</v>
      </c>
      <c r="B79" t="s">
        <v>118</v>
      </c>
      <c r="C79" t="s">
        <v>130</v>
      </c>
      <c r="D79" t="s">
        <v>134</v>
      </c>
      <c r="E79" s="2">
        <v>45414.49494949494</v>
      </c>
      <c r="F79" s="6">
        <v>3648.26</v>
      </c>
      <c r="G79">
        <v>5</v>
      </c>
      <c r="H79" s="6">
        <v>8643.61</v>
      </c>
    </row>
    <row r="80" spans="1:8" x14ac:dyDescent="0.3">
      <c r="A80" t="s">
        <v>25</v>
      </c>
      <c r="B80" t="s">
        <v>120</v>
      </c>
      <c r="C80" t="s">
        <v>128</v>
      </c>
      <c r="D80" t="s">
        <v>133</v>
      </c>
      <c r="E80" s="2">
        <v>45324.909090909088</v>
      </c>
      <c r="F80" s="6">
        <v>3993.74</v>
      </c>
      <c r="G80">
        <v>6</v>
      </c>
      <c r="H80" s="6">
        <v>25402.139999999996</v>
      </c>
    </row>
    <row r="81" spans="1:8" x14ac:dyDescent="0.3">
      <c r="A81" t="s">
        <v>35</v>
      </c>
      <c r="B81" t="s">
        <v>120</v>
      </c>
      <c r="C81" t="s">
        <v>129</v>
      </c>
      <c r="D81" t="s">
        <v>134</v>
      </c>
      <c r="E81" s="2">
        <v>45343.191919191908</v>
      </c>
      <c r="F81" s="6">
        <v>4182.45</v>
      </c>
      <c r="G81">
        <v>6</v>
      </c>
      <c r="H81" s="6">
        <v>25402.139999999996</v>
      </c>
    </row>
    <row r="82" spans="1:8" x14ac:dyDescent="0.3">
      <c r="A82" t="s">
        <v>38</v>
      </c>
      <c r="B82" t="s">
        <v>120</v>
      </c>
      <c r="C82" t="s">
        <v>127</v>
      </c>
      <c r="D82" t="s">
        <v>131</v>
      </c>
      <c r="E82" s="2">
        <v>45348.676767676763</v>
      </c>
      <c r="F82" s="6">
        <v>2822.52</v>
      </c>
      <c r="G82">
        <v>6</v>
      </c>
      <c r="H82" s="6">
        <v>25402.139999999996</v>
      </c>
    </row>
    <row r="83" spans="1:8" x14ac:dyDescent="0.3">
      <c r="A83" t="s">
        <v>49</v>
      </c>
      <c r="B83" t="s">
        <v>120</v>
      </c>
      <c r="C83" t="s">
        <v>127</v>
      </c>
      <c r="D83" t="s">
        <v>135</v>
      </c>
      <c r="E83" s="2">
        <v>45368.787878787873</v>
      </c>
      <c r="F83" s="6">
        <v>1824.15</v>
      </c>
      <c r="G83">
        <v>3</v>
      </c>
      <c r="H83" s="6">
        <v>25402.139999999996</v>
      </c>
    </row>
    <row r="84" spans="1:8" x14ac:dyDescent="0.3">
      <c r="A84" t="s">
        <v>73</v>
      </c>
      <c r="B84" t="s">
        <v>120</v>
      </c>
      <c r="C84" t="s">
        <v>128</v>
      </c>
      <c r="D84" t="s">
        <v>131</v>
      </c>
      <c r="E84" s="2">
        <v>45412.666666666657</v>
      </c>
      <c r="F84" s="6">
        <v>2805.45</v>
      </c>
      <c r="G84">
        <v>9</v>
      </c>
      <c r="H84" s="6">
        <v>25402.139999999996</v>
      </c>
    </row>
    <row r="85" spans="1:8" x14ac:dyDescent="0.3">
      <c r="A85" t="s">
        <v>80</v>
      </c>
      <c r="B85" t="s">
        <v>120</v>
      </c>
      <c r="C85" t="s">
        <v>129</v>
      </c>
      <c r="D85" t="s">
        <v>131</v>
      </c>
      <c r="E85" s="2">
        <v>45425.464646464643</v>
      </c>
      <c r="F85" s="6">
        <v>4862.96</v>
      </c>
      <c r="G85">
        <v>7</v>
      </c>
      <c r="H85" s="6">
        <v>25402.139999999996</v>
      </c>
    </row>
    <row r="86" spans="1:8" x14ac:dyDescent="0.3">
      <c r="A86" t="s">
        <v>90</v>
      </c>
      <c r="B86" t="s">
        <v>120</v>
      </c>
      <c r="C86" t="s">
        <v>129</v>
      </c>
      <c r="D86" t="s">
        <v>135</v>
      </c>
      <c r="E86" s="2">
        <v>45443.747474747463</v>
      </c>
      <c r="F86" s="6">
        <v>4696.9799999999996</v>
      </c>
      <c r="G86">
        <v>7</v>
      </c>
      <c r="H86" s="6">
        <v>25402.139999999996</v>
      </c>
    </row>
    <row r="87" spans="1:8" x14ac:dyDescent="0.3">
      <c r="A87" t="s">
        <v>94</v>
      </c>
      <c r="B87" t="s">
        <v>120</v>
      </c>
      <c r="C87" t="s">
        <v>129</v>
      </c>
      <c r="D87" t="s">
        <v>134</v>
      </c>
      <c r="E87" s="2">
        <v>45451.060606060601</v>
      </c>
      <c r="F87" s="6">
        <v>213.89</v>
      </c>
      <c r="G87">
        <v>6</v>
      </c>
      <c r="H87" s="6">
        <v>25402.139999999996</v>
      </c>
    </row>
    <row r="88" spans="1:8" x14ac:dyDescent="0.3">
      <c r="A88" t="s">
        <v>10</v>
      </c>
      <c r="B88" t="s">
        <v>110</v>
      </c>
      <c r="C88" t="s">
        <v>129</v>
      </c>
      <c r="D88" t="s">
        <v>131</v>
      </c>
      <c r="E88" s="2">
        <v>45297.484848484841</v>
      </c>
      <c r="F88" s="6">
        <v>1096.51</v>
      </c>
      <c r="G88">
        <v>4</v>
      </c>
      <c r="H88" s="6">
        <v>10800.3</v>
      </c>
    </row>
    <row r="89" spans="1:8" x14ac:dyDescent="0.3">
      <c r="A89" t="s">
        <v>15</v>
      </c>
      <c r="B89" t="s">
        <v>110</v>
      </c>
      <c r="C89" t="s">
        <v>127</v>
      </c>
      <c r="D89" t="s">
        <v>132</v>
      </c>
      <c r="E89" s="2">
        <v>45306.626262626261</v>
      </c>
      <c r="F89" s="6">
        <v>1075.52</v>
      </c>
      <c r="G89">
        <v>3</v>
      </c>
      <c r="H89" s="6">
        <v>10800.3</v>
      </c>
    </row>
    <row r="90" spans="1:8" x14ac:dyDescent="0.3">
      <c r="A90" t="s">
        <v>44</v>
      </c>
      <c r="B90" t="s">
        <v>110</v>
      </c>
      <c r="C90" t="s">
        <v>127</v>
      </c>
      <c r="D90" t="s">
        <v>131</v>
      </c>
      <c r="E90" s="2">
        <v>45359.646464646459</v>
      </c>
      <c r="F90" s="6">
        <v>2499.34</v>
      </c>
      <c r="G90">
        <v>4</v>
      </c>
      <c r="H90" s="6">
        <v>10800.3</v>
      </c>
    </row>
    <row r="91" spans="1:8" x14ac:dyDescent="0.3">
      <c r="A91" t="s">
        <v>52</v>
      </c>
      <c r="B91" t="s">
        <v>110</v>
      </c>
      <c r="C91" t="s">
        <v>127</v>
      </c>
      <c r="D91" t="s">
        <v>131</v>
      </c>
      <c r="E91" s="2">
        <v>45374.272727272721</v>
      </c>
      <c r="F91" s="6">
        <v>2477.83</v>
      </c>
      <c r="G91">
        <v>7</v>
      </c>
      <c r="H91" s="6">
        <v>10800.3</v>
      </c>
    </row>
    <row r="92" spans="1:8" x14ac:dyDescent="0.3">
      <c r="A92" t="s">
        <v>101</v>
      </c>
      <c r="B92" t="s">
        <v>110</v>
      </c>
      <c r="C92" t="s">
        <v>130</v>
      </c>
      <c r="D92" t="s">
        <v>131</v>
      </c>
      <c r="E92" s="2">
        <v>45463.858585858579</v>
      </c>
      <c r="F92" s="6">
        <v>3651.1</v>
      </c>
      <c r="G92">
        <v>8</v>
      </c>
      <c r="H92" s="6">
        <v>10800.3</v>
      </c>
    </row>
    <row r="93" spans="1:8" x14ac:dyDescent="0.3">
      <c r="A93" t="s">
        <v>33</v>
      </c>
      <c r="B93" t="s">
        <v>125</v>
      </c>
      <c r="C93" t="s">
        <v>128</v>
      </c>
      <c r="D93" t="s">
        <v>134</v>
      </c>
      <c r="E93" s="2">
        <v>45339.53535353535</v>
      </c>
      <c r="F93" s="6">
        <v>334.29</v>
      </c>
      <c r="G93">
        <v>4</v>
      </c>
      <c r="H93" s="6">
        <v>8585.2800000000007</v>
      </c>
    </row>
    <row r="94" spans="1:8" x14ac:dyDescent="0.3">
      <c r="A94" t="s">
        <v>72</v>
      </c>
      <c r="B94" t="s">
        <v>125</v>
      </c>
      <c r="C94" t="s">
        <v>129</v>
      </c>
      <c r="D94" t="s">
        <v>135</v>
      </c>
      <c r="E94" s="2">
        <v>45410.838383838382</v>
      </c>
      <c r="F94" s="6">
        <v>1442.53</v>
      </c>
      <c r="G94">
        <v>9</v>
      </c>
      <c r="H94" s="6">
        <v>8585.2800000000007</v>
      </c>
    </row>
    <row r="95" spans="1:8" x14ac:dyDescent="0.3">
      <c r="A95" t="s">
        <v>76</v>
      </c>
      <c r="B95" t="s">
        <v>125</v>
      </c>
      <c r="C95" t="s">
        <v>130</v>
      </c>
      <c r="D95" t="s">
        <v>134</v>
      </c>
      <c r="E95" s="2">
        <v>45418.151515151512</v>
      </c>
      <c r="F95" s="6">
        <v>3218.72</v>
      </c>
      <c r="G95">
        <v>8</v>
      </c>
      <c r="H95" s="6">
        <v>8585.2800000000007</v>
      </c>
    </row>
    <row r="96" spans="1:8" x14ac:dyDescent="0.3">
      <c r="A96" t="s">
        <v>81</v>
      </c>
      <c r="B96" t="s">
        <v>125</v>
      </c>
      <c r="C96" t="s">
        <v>128</v>
      </c>
      <c r="D96" t="s">
        <v>134</v>
      </c>
      <c r="E96" s="2">
        <v>45427.292929292933</v>
      </c>
      <c r="F96" s="6">
        <v>813.73</v>
      </c>
      <c r="G96">
        <v>9</v>
      </c>
      <c r="H96" s="6">
        <v>8585.2800000000007</v>
      </c>
    </row>
    <row r="97" spans="1:8" x14ac:dyDescent="0.3">
      <c r="A97" t="s">
        <v>96</v>
      </c>
      <c r="B97" t="s">
        <v>125</v>
      </c>
      <c r="C97" t="s">
        <v>129</v>
      </c>
      <c r="D97" t="s">
        <v>135</v>
      </c>
      <c r="E97" s="2">
        <v>45454.717171717173</v>
      </c>
      <c r="F97" s="6">
        <v>2776.01</v>
      </c>
      <c r="G97">
        <v>1</v>
      </c>
      <c r="H97" s="6">
        <v>8585.2800000000007</v>
      </c>
    </row>
    <row r="98" spans="1:8" x14ac:dyDescent="0.3">
      <c r="A98" t="s">
        <v>48</v>
      </c>
      <c r="B98" t="s">
        <v>126</v>
      </c>
      <c r="C98" t="s">
        <v>130</v>
      </c>
      <c r="D98" t="s">
        <v>133</v>
      </c>
      <c r="E98" s="2">
        <v>45366.959595959597</v>
      </c>
      <c r="F98" s="6">
        <v>1181.8699999999999</v>
      </c>
      <c r="G98">
        <v>2</v>
      </c>
      <c r="H98" s="6">
        <v>8976.35</v>
      </c>
    </row>
    <row r="99" spans="1:8" x14ac:dyDescent="0.3">
      <c r="A99" t="s">
        <v>61</v>
      </c>
      <c r="B99" t="s">
        <v>126</v>
      </c>
      <c r="C99" t="s">
        <v>128</v>
      </c>
      <c r="D99" t="s">
        <v>133</v>
      </c>
      <c r="E99" s="2">
        <v>45390.727272727272</v>
      </c>
      <c r="F99" s="6">
        <v>2261.5</v>
      </c>
      <c r="G99">
        <v>3</v>
      </c>
      <c r="H99" s="6">
        <v>8976.35</v>
      </c>
    </row>
    <row r="100" spans="1:8" x14ac:dyDescent="0.3">
      <c r="A100" t="s">
        <v>78</v>
      </c>
      <c r="B100" t="s">
        <v>126</v>
      </c>
      <c r="C100" t="s">
        <v>129</v>
      </c>
      <c r="D100" t="s">
        <v>131</v>
      </c>
      <c r="E100" s="2">
        <v>45421.808080808078</v>
      </c>
      <c r="F100" s="6">
        <v>693.97</v>
      </c>
      <c r="G100">
        <v>6</v>
      </c>
      <c r="H100" s="6">
        <v>8976.35</v>
      </c>
    </row>
    <row r="101" spans="1:8" x14ac:dyDescent="0.3">
      <c r="A101" t="s">
        <v>89</v>
      </c>
      <c r="B101" t="s">
        <v>126</v>
      </c>
      <c r="C101" t="s">
        <v>129</v>
      </c>
      <c r="D101" t="s">
        <v>134</v>
      </c>
      <c r="E101" s="2">
        <v>45441.919191919187</v>
      </c>
      <c r="F101" s="6">
        <v>4839.01</v>
      </c>
      <c r="G101">
        <v>6</v>
      </c>
      <c r="H101" s="6">
        <v>8976.35</v>
      </c>
    </row>
  </sheetData>
  <sortState xmlns:xlrd2="http://schemas.microsoft.com/office/spreadsheetml/2017/richdata2" ref="A2:G101">
    <sortCondition ref="B2:B101" customList="cust_1,cust_2,cust_3,cust_4,cust_5,cust_6"/>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C9F8-07ED-4E3A-80DE-89426B544C7A}">
  <dimension ref="A2:M26"/>
  <sheetViews>
    <sheetView showGridLines="0" tabSelected="1" zoomScaleNormal="100" workbookViewId="0">
      <selection activeCell="I19" sqref="I19"/>
    </sheetView>
  </sheetViews>
  <sheetFormatPr defaultRowHeight="14.4" x14ac:dyDescent="0.3"/>
  <cols>
    <col min="1" max="1" width="16.5546875" customWidth="1"/>
    <col min="2" max="2" width="19" customWidth="1"/>
    <col min="3" max="3" width="4.109375" customWidth="1"/>
    <col min="4" max="4" width="15.44140625" customWidth="1"/>
    <col min="5" max="5" width="20.88671875" customWidth="1"/>
    <col min="6" max="6" width="9.33203125" customWidth="1"/>
    <col min="7" max="7" width="2.6640625" customWidth="1"/>
    <col min="8" max="8" width="24.6640625" customWidth="1"/>
    <col min="9" max="9" width="17.6640625" customWidth="1"/>
    <col min="10" max="10" width="12.5546875" bestFit="1" customWidth="1"/>
    <col min="11" max="11" width="23.77734375" customWidth="1"/>
  </cols>
  <sheetData>
    <row r="2" spans="1:9" x14ac:dyDescent="0.3">
      <c r="A2" s="8" t="s">
        <v>147</v>
      </c>
      <c r="B2" s="8" t="s">
        <v>148</v>
      </c>
      <c r="D2" s="9" t="s">
        <v>153</v>
      </c>
      <c r="E2" s="8" t="s">
        <v>151</v>
      </c>
      <c r="F2" s="8" t="s">
        <v>152</v>
      </c>
      <c r="H2" s="8" t="s">
        <v>2</v>
      </c>
      <c r="I2" s="8" t="s">
        <v>146</v>
      </c>
    </row>
    <row r="3" spans="1:9" x14ac:dyDescent="0.3">
      <c r="A3" t="s">
        <v>122</v>
      </c>
      <c r="B3" s="6">
        <v>27511.26</v>
      </c>
      <c r="D3" t="s">
        <v>133</v>
      </c>
      <c r="E3" s="6">
        <v>3095.9</v>
      </c>
      <c r="F3">
        <v>20</v>
      </c>
      <c r="H3" s="4" t="s">
        <v>127</v>
      </c>
      <c r="I3">
        <v>5.1034482758620694</v>
      </c>
    </row>
    <row r="4" spans="1:9" x14ac:dyDescent="0.3">
      <c r="A4" t="s">
        <v>120</v>
      </c>
      <c r="B4" s="6">
        <v>25402.139999999996</v>
      </c>
      <c r="D4" t="s">
        <v>134</v>
      </c>
      <c r="E4" s="6">
        <v>1979.94</v>
      </c>
      <c r="F4">
        <v>26</v>
      </c>
      <c r="H4" s="4" t="s">
        <v>130</v>
      </c>
      <c r="I4">
        <v>5.1111111111111107</v>
      </c>
    </row>
    <row r="5" spans="1:9" x14ac:dyDescent="0.3">
      <c r="A5" t="s">
        <v>116</v>
      </c>
      <c r="B5" s="6">
        <v>25197.32</v>
      </c>
      <c r="D5" t="s">
        <v>132</v>
      </c>
      <c r="E5" s="6">
        <v>4504.3500000000004</v>
      </c>
      <c r="F5">
        <v>13</v>
      </c>
      <c r="H5" s="4" t="s">
        <v>128</v>
      </c>
      <c r="I5">
        <v>5.24</v>
      </c>
    </row>
    <row r="6" spans="1:9" x14ac:dyDescent="0.3">
      <c r="A6" t="s">
        <v>111</v>
      </c>
      <c r="B6" s="6">
        <v>19781.759999999998</v>
      </c>
      <c r="D6" t="s">
        <v>131</v>
      </c>
      <c r="E6" s="6">
        <v>4186.1400000000003</v>
      </c>
      <c r="F6">
        <v>23</v>
      </c>
      <c r="H6" s="4" t="s">
        <v>129</v>
      </c>
      <c r="I6">
        <v>6.4642857142857144</v>
      </c>
    </row>
    <row r="7" spans="1:9" x14ac:dyDescent="0.3">
      <c r="A7" t="s">
        <v>121</v>
      </c>
      <c r="B7" s="6">
        <v>19149.269999999997</v>
      </c>
      <c r="D7" t="s">
        <v>135</v>
      </c>
      <c r="E7" s="6">
        <v>750.91</v>
      </c>
      <c r="F7">
        <v>18</v>
      </c>
    </row>
    <row r="10" spans="1:9" ht="15" thickBot="1" x14ac:dyDescent="0.35">
      <c r="A10" s="3" t="s">
        <v>2</v>
      </c>
      <c r="B10" t="s">
        <v>155</v>
      </c>
      <c r="D10" s="3" t="s">
        <v>2</v>
      </c>
      <c r="E10" t="s">
        <v>143</v>
      </c>
      <c r="H10" s="25" t="s">
        <v>145</v>
      </c>
      <c r="I10" s="26">
        <v>276753</v>
      </c>
    </row>
    <row r="11" spans="1:9" ht="15.6" thickTop="1" thickBot="1" x14ac:dyDescent="0.35">
      <c r="A11" s="4" t="s">
        <v>127</v>
      </c>
      <c r="B11" s="23">
        <v>91301.53</v>
      </c>
      <c r="D11" s="4" t="s">
        <v>127</v>
      </c>
      <c r="E11">
        <v>5.1034482758620694</v>
      </c>
      <c r="H11" s="25" t="s">
        <v>158</v>
      </c>
      <c r="I11" s="26">
        <v>2776.56</v>
      </c>
    </row>
    <row r="12" spans="1:9" ht="15.6" thickTop="1" thickBot="1" x14ac:dyDescent="0.35">
      <c r="A12" s="4" t="s">
        <v>130</v>
      </c>
      <c r="B12" s="23">
        <v>46353.310000000005</v>
      </c>
      <c r="D12" s="4" t="s">
        <v>130</v>
      </c>
      <c r="E12">
        <v>5.1111111111111107</v>
      </c>
      <c r="H12" s="25" t="s">
        <v>149</v>
      </c>
      <c r="I12" s="25" t="s">
        <v>132</v>
      </c>
    </row>
    <row r="13" spans="1:9" ht="15.6" thickTop="1" thickBot="1" x14ac:dyDescent="0.35">
      <c r="A13" s="4" t="s">
        <v>128</v>
      </c>
      <c r="B13" s="23">
        <v>61702.549999999988</v>
      </c>
      <c r="D13" s="4" t="s">
        <v>128</v>
      </c>
      <c r="E13">
        <v>5.24</v>
      </c>
      <c r="H13" s="25" t="s">
        <v>150</v>
      </c>
      <c r="I13" s="25" t="s">
        <v>134</v>
      </c>
    </row>
    <row r="14" spans="1:9" ht="15" thickTop="1" x14ac:dyDescent="0.3">
      <c r="A14" s="4" t="s">
        <v>129</v>
      </c>
      <c r="B14" s="23">
        <v>77395.229999999981</v>
      </c>
      <c r="D14" s="4" t="s">
        <v>129</v>
      </c>
      <c r="E14">
        <v>6.4642857142857144</v>
      </c>
    </row>
    <row r="15" spans="1:9" x14ac:dyDescent="0.3">
      <c r="A15" s="4" t="s">
        <v>136</v>
      </c>
      <c r="B15" s="23">
        <v>276752.62</v>
      </c>
      <c r="D15" s="4" t="s">
        <v>136</v>
      </c>
      <c r="E15">
        <v>5.52</v>
      </c>
    </row>
    <row r="18" spans="1:13" x14ac:dyDescent="0.3">
      <c r="A18" s="3" t="s">
        <v>154</v>
      </c>
      <c r="B18" t="s">
        <v>156</v>
      </c>
      <c r="D18" s="3" t="s">
        <v>153</v>
      </c>
      <c r="E18" t="s">
        <v>157</v>
      </c>
    </row>
    <row r="19" spans="1:13" x14ac:dyDescent="0.3">
      <c r="A19" s="4" t="s">
        <v>137</v>
      </c>
      <c r="B19">
        <v>46965.709999999992</v>
      </c>
      <c r="D19" s="4" t="s">
        <v>132</v>
      </c>
      <c r="E19" s="23">
        <v>33645.32</v>
      </c>
    </row>
    <row r="20" spans="1:13" x14ac:dyDescent="0.3">
      <c r="A20" s="4" t="s">
        <v>138</v>
      </c>
      <c r="B20">
        <v>35314.050000000003</v>
      </c>
      <c r="D20" s="4" t="s">
        <v>133</v>
      </c>
      <c r="E20" s="23">
        <v>61336.01</v>
      </c>
    </row>
    <row r="21" spans="1:13" x14ac:dyDescent="0.3">
      <c r="A21" s="4" t="s">
        <v>139</v>
      </c>
      <c r="B21">
        <v>48785.88</v>
      </c>
      <c r="D21" s="4" t="s">
        <v>131</v>
      </c>
      <c r="E21" s="23">
        <v>55303.860000000008</v>
      </c>
      <c r="L21" s="8"/>
      <c r="M21" s="8"/>
    </row>
    <row r="22" spans="1:13" x14ac:dyDescent="0.3">
      <c r="A22" s="4" t="s">
        <v>140</v>
      </c>
      <c r="B22">
        <v>44181.77</v>
      </c>
      <c r="D22" s="4" t="s">
        <v>135</v>
      </c>
      <c r="E22" s="23">
        <v>46667.38</v>
      </c>
      <c r="L22" s="6"/>
    </row>
    <row r="23" spans="1:13" x14ac:dyDescent="0.3">
      <c r="A23" s="4" t="s">
        <v>141</v>
      </c>
      <c r="B23">
        <v>55839.270000000004</v>
      </c>
      <c r="D23" s="4" t="s">
        <v>134</v>
      </c>
      <c r="E23" s="23">
        <v>79800.049999999988</v>
      </c>
      <c r="L23" s="6"/>
    </row>
    <row r="24" spans="1:13" x14ac:dyDescent="0.3">
      <c r="A24" s="4" t="s">
        <v>142</v>
      </c>
      <c r="B24">
        <v>45665.939999999995</v>
      </c>
      <c r="D24" s="4" t="s">
        <v>136</v>
      </c>
      <c r="E24" s="23">
        <v>276752.62</v>
      </c>
      <c r="L24" s="6"/>
    </row>
    <row r="25" spans="1:13" x14ac:dyDescent="0.3">
      <c r="A25" s="4" t="s">
        <v>136</v>
      </c>
      <c r="B25">
        <v>276752.62</v>
      </c>
      <c r="E25" s="4"/>
      <c r="L25" s="6"/>
    </row>
    <row r="26" spans="1:13" x14ac:dyDescent="0.3">
      <c r="L26" s="6"/>
    </row>
  </sheetData>
  <conditionalFormatting sqref="H10:H13">
    <cfRule type="dataBar" priority="1">
      <dataBar>
        <cfvo type="min"/>
        <cfvo type="max"/>
        <color rgb="FF638EC6"/>
      </dataBar>
      <extLst>
        <ext xmlns:x14="http://schemas.microsoft.com/office/spreadsheetml/2009/9/main" uri="{B025F937-C7B1-47D3-B67F-A62EFF666E3E}">
          <x14:id>{4C886CFD-90B8-4527-B9E2-F048DE6FAD01}</x14:id>
        </ext>
      </extLst>
    </cfRule>
  </conditionalFormatting>
  <pageMargins left="0.7" right="0.7" top="0.75" bottom="0.75" header="0.3" footer="0.3"/>
  <tableParts count="3">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4C886CFD-90B8-4527-B9E2-F048DE6FAD01}">
            <x14:dataBar minLength="0" maxLength="100" border="1" negativeBarBorderColorSameAsPositive="0">
              <x14:cfvo type="autoMin"/>
              <x14:cfvo type="autoMax"/>
              <x14:borderColor rgb="FF638EC6"/>
              <x14:negativeFillColor rgb="FFFF0000"/>
              <x14:negativeBorderColor rgb="FFFF0000"/>
              <x14:axisColor rgb="FF000000"/>
            </x14:dataBar>
          </x14:cfRule>
          <xm:sqref>H10:H13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21D6-2B38-4360-8DB7-0AA7F4E6B6FB}">
  <dimension ref="A12:S73"/>
  <sheetViews>
    <sheetView showGridLines="0" zoomScale="57" zoomScaleNormal="57" workbookViewId="0">
      <selection activeCell="AD15" sqref="AD15"/>
    </sheetView>
  </sheetViews>
  <sheetFormatPr defaultRowHeight="14.4" x14ac:dyDescent="0.3"/>
  <cols>
    <col min="1" max="1" width="8.88671875" style="11"/>
    <col min="2" max="2" width="11" style="11" customWidth="1"/>
    <col min="3" max="7" width="8.88671875" style="11"/>
    <col min="8" max="8" width="19.88671875" style="11" customWidth="1"/>
    <col min="9" max="9" width="16.109375" style="11" customWidth="1"/>
    <col min="10" max="10" width="8.88671875" style="11"/>
    <col min="11" max="11" width="11.44140625" style="11" customWidth="1"/>
    <col min="12" max="12" width="12" style="11" customWidth="1"/>
    <col min="13" max="16" width="8.88671875" style="11"/>
    <col min="17" max="17" width="22.6640625" style="11" customWidth="1"/>
    <col min="18" max="18" width="21.109375" style="11" customWidth="1"/>
    <col min="19" max="19" width="8.44140625" style="11" customWidth="1"/>
    <col min="20" max="16384" width="8.88671875" style="11"/>
  </cols>
  <sheetData>
    <row r="12" spans="5:18" x14ac:dyDescent="0.3">
      <c r="Q12" s="12"/>
      <c r="R12" s="12"/>
    </row>
    <row r="13" spans="5:18" x14ac:dyDescent="0.3">
      <c r="R13" s="13"/>
    </row>
    <row r="14" spans="5:18" x14ac:dyDescent="0.3">
      <c r="J14" s="24"/>
      <c r="R14" s="13"/>
    </row>
    <row r="16" spans="5:18" x14ac:dyDescent="0.3">
      <c r="E16" s="10"/>
    </row>
    <row r="20" spans="1:19" x14ac:dyDescent="0.3">
      <c r="H20" s="12"/>
      <c r="I20" s="13"/>
    </row>
    <row r="21" spans="1:19" x14ac:dyDescent="0.3">
      <c r="H21" s="12"/>
      <c r="I21" s="22"/>
      <c r="K21" s="14"/>
      <c r="Q21" s="12"/>
      <c r="R21" s="12"/>
    </row>
    <row r="22" spans="1:19" x14ac:dyDescent="0.3">
      <c r="H22" s="12"/>
      <c r="I22" s="13"/>
      <c r="J22" s="13"/>
      <c r="Q22" s="15"/>
    </row>
    <row r="23" spans="1:19" x14ac:dyDescent="0.3">
      <c r="H23" s="12"/>
      <c r="J23" s="13"/>
      <c r="Q23" s="15"/>
    </row>
    <row r="24" spans="1:19" x14ac:dyDescent="0.3">
      <c r="J24" s="13"/>
      <c r="Q24" s="15"/>
    </row>
    <row r="25" spans="1:19" x14ac:dyDescent="0.3">
      <c r="J25" s="13"/>
      <c r="Q25" s="15"/>
    </row>
    <row r="26" spans="1:19" x14ac:dyDescent="0.3">
      <c r="J26" s="13"/>
    </row>
    <row r="27" spans="1:19" x14ac:dyDescent="0.3">
      <c r="A27" s="16"/>
      <c r="B27" s="14"/>
      <c r="D27" s="16"/>
      <c r="E27" s="14"/>
      <c r="J27" s="13"/>
    </row>
    <row r="28" spans="1:19" x14ac:dyDescent="0.3">
      <c r="E28" s="13"/>
      <c r="J28" s="13"/>
      <c r="Q28" s="17"/>
      <c r="R28" s="12"/>
      <c r="S28" s="12"/>
    </row>
    <row r="29" spans="1:19" x14ac:dyDescent="0.3">
      <c r="E29" s="13"/>
      <c r="J29" s="13"/>
      <c r="R29" s="13"/>
    </row>
    <row r="30" spans="1:19" x14ac:dyDescent="0.3">
      <c r="E30" s="13"/>
      <c r="J30" s="13"/>
      <c r="R30" s="13"/>
    </row>
    <row r="31" spans="1:19" x14ac:dyDescent="0.3">
      <c r="E31" s="13"/>
      <c r="J31" s="13"/>
      <c r="R31" s="13"/>
    </row>
    <row r="32" spans="1:19" x14ac:dyDescent="0.3">
      <c r="E32" s="13"/>
      <c r="J32" s="13"/>
      <c r="R32" s="13"/>
    </row>
    <row r="33" spans="10:18" x14ac:dyDescent="0.3">
      <c r="J33" s="13"/>
      <c r="R33" s="13"/>
    </row>
    <row r="34" spans="10:18" x14ac:dyDescent="0.3">
      <c r="J34" s="13"/>
    </row>
    <row r="35" spans="10:18" x14ac:dyDescent="0.3">
      <c r="J35" s="13"/>
    </row>
    <row r="36" spans="10:18" x14ac:dyDescent="0.3">
      <c r="J36" s="13"/>
    </row>
    <row r="67" spans="1:2" x14ac:dyDescent="0.3">
      <c r="A67" s="18" t="s">
        <v>1</v>
      </c>
      <c r="B67" s="19" t="s">
        <v>144</v>
      </c>
    </row>
    <row r="68" spans="1:2" x14ac:dyDescent="0.3">
      <c r="A68" s="20" t="s">
        <v>122</v>
      </c>
      <c r="B68" s="21">
        <v>27511.26</v>
      </c>
    </row>
    <row r="69" spans="1:2" x14ac:dyDescent="0.3">
      <c r="A69" s="20" t="s">
        <v>120</v>
      </c>
      <c r="B69" s="21">
        <v>25402.139999999996</v>
      </c>
    </row>
    <row r="70" spans="1:2" x14ac:dyDescent="0.3">
      <c r="A70" s="20" t="s">
        <v>116</v>
      </c>
      <c r="B70" s="21">
        <v>25197.32</v>
      </c>
    </row>
    <row r="71" spans="1:2" x14ac:dyDescent="0.3">
      <c r="A71" s="20" t="s">
        <v>111</v>
      </c>
      <c r="B71" s="21">
        <v>19781.759999999998</v>
      </c>
    </row>
    <row r="72" spans="1:2" x14ac:dyDescent="0.3">
      <c r="A72" s="20" t="s">
        <v>121</v>
      </c>
      <c r="B72" s="21">
        <v>19149.269999999997</v>
      </c>
    </row>
    <row r="73" spans="1:2" x14ac:dyDescent="0.3">
      <c r="A73" s="15"/>
      <c r="B73" s="13"/>
    </row>
  </sheetData>
  <sortState xmlns:xlrd2="http://schemas.microsoft.com/office/spreadsheetml/2017/richdata2" ref="I17:J116">
    <sortCondition descending="1" ref="J17:J116"/>
  </sortState>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shankari thangaraj</cp:lastModifiedBy>
  <dcterms:created xsi:type="dcterms:W3CDTF">2025-09-27T08:01:54Z</dcterms:created>
  <dcterms:modified xsi:type="dcterms:W3CDTF">2025-09-30T14:29:43Z</dcterms:modified>
</cp:coreProperties>
</file>